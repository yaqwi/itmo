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fpdgd/Documents/stud/моделирование/занятие 2/"/>
    </mc:Choice>
  </mc:AlternateContent>
  <xr:revisionPtr revIDLastSave="0" documentId="13_ncr:1_{3DCCFBA9-BC5F-B04C-BCA0-FC3459D5A4B2}" xr6:coauthVersionLast="47" xr6:coauthVersionMax="47" xr10:uidLastSave="{00000000-0000-0000-0000-000000000000}"/>
  <bookViews>
    <workbookView xWindow="0" yWindow="780" windowWidth="34200" windowHeight="21460" xr2:uid="{727BF40B-2BAB-AF42-A78E-12B97BB6C5C9}"/>
  </bookViews>
  <sheets>
    <sheet name="Лист1" sheetId="1" r:id="rId1"/>
  </sheets>
  <definedNames>
    <definedName name="_xlchart.v1.0" hidden="1">Лист1!$A$2:$A$301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165" i="1" l="1"/>
  <c r="AI165" i="1" s="1"/>
  <c r="AJ165" i="1" s="1"/>
  <c r="AH166" i="1"/>
  <c r="AI166" i="1" s="1"/>
  <c r="AJ166" i="1" s="1"/>
  <c r="AH167" i="1"/>
  <c r="AI167" i="1" s="1"/>
  <c r="AJ167" i="1" s="1"/>
  <c r="AH168" i="1"/>
  <c r="AI168" i="1" s="1"/>
  <c r="AJ168" i="1" s="1"/>
  <c r="AH169" i="1"/>
  <c r="AI169" i="1"/>
  <c r="AJ169" i="1" s="1"/>
  <c r="AH170" i="1"/>
  <c r="AI170" i="1"/>
  <c r="AJ170" i="1" s="1"/>
  <c r="AH171" i="1"/>
  <c r="AI171" i="1" s="1"/>
  <c r="AJ171" i="1" s="1"/>
  <c r="AH172" i="1"/>
  <c r="AI172" i="1" s="1"/>
  <c r="AJ172" i="1" s="1"/>
  <c r="AH173" i="1"/>
  <c r="AI173" i="1"/>
  <c r="AJ173" i="1" s="1"/>
  <c r="AH174" i="1"/>
  <c r="AI174" i="1" s="1"/>
  <c r="AJ174" i="1" s="1"/>
  <c r="AH175" i="1"/>
  <c r="AI175" i="1" s="1"/>
  <c r="AJ175" i="1" s="1"/>
  <c r="AH176" i="1"/>
  <c r="AI176" i="1" s="1"/>
  <c r="AJ176" i="1" s="1"/>
  <c r="AH177" i="1"/>
  <c r="AI177" i="1"/>
  <c r="AJ177" i="1" s="1"/>
  <c r="AH178" i="1"/>
  <c r="AI178" i="1" s="1"/>
  <c r="AJ178" i="1" s="1"/>
  <c r="AH179" i="1"/>
  <c r="AI179" i="1"/>
  <c r="AJ179" i="1" s="1"/>
  <c r="AH180" i="1"/>
  <c r="AI180" i="1"/>
  <c r="AJ180" i="1"/>
  <c r="AH181" i="1"/>
  <c r="AI181" i="1"/>
  <c r="AJ181" i="1" s="1"/>
  <c r="AH182" i="1"/>
  <c r="AI182" i="1" s="1"/>
  <c r="AJ182" i="1" s="1"/>
  <c r="AH183" i="1"/>
  <c r="AI183" i="1"/>
  <c r="AJ183" i="1" s="1"/>
  <c r="AH184" i="1"/>
  <c r="AI184" i="1"/>
  <c r="AJ184" i="1" s="1"/>
  <c r="AH185" i="1"/>
  <c r="AI185" i="1" s="1"/>
  <c r="AJ185" i="1" s="1"/>
  <c r="AH186" i="1"/>
  <c r="AI186" i="1" s="1"/>
  <c r="AJ186" i="1" s="1"/>
  <c r="AH187" i="1"/>
  <c r="AI187" i="1"/>
  <c r="AJ187" i="1" s="1"/>
  <c r="AH188" i="1"/>
  <c r="AI188" i="1" s="1"/>
  <c r="AJ188" i="1" s="1"/>
  <c r="AH164" i="1"/>
  <c r="AI164" i="1" s="1"/>
  <c r="AJ164" i="1" s="1"/>
  <c r="D170" i="1"/>
  <c r="D171" i="1" s="1"/>
  <c r="E77" i="1"/>
  <c r="G39" i="1"/>
  <c r="E33" i="1"/>
  <c r="E32" i="1"/>
  <c r="D24" i="1"/>
  <c r="D10" i="1"/>
  <c r="AJ101" i="1"/>
  <c r="AO3" i="1"/>
  <c r="AO4" i="1"/>
  <c r="AO5" i="1"/>
  <c r="AO6" i="1"/>
  <c r="AO7" i="1"/>
  <c r="AO8" i="1"/>
  <c r="AO9" i="1"/>
  <c r="AO10" i="1"/>
  <c r="AO2" i="1"/>
  <c r="AI3" i="1"/>
  <c r="AI4" i="1" s="1"/>
  <c r="AI5" i="1" s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X10" i="1"/>
  <c r="X9" i="1"/>
  <c r="X8" i="1"/>
  <c r="X7" i="1"/>
  <c r="X6" i="1"/>
  <c r="X5" i="1"/>
  <c r="X4" i="1"/>
  <c r="X3" i="1"/>
  <c r="X2" i="1"/>
  <c r="C176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D126" i="1"/>
  <c r="D127" i="1"/>
  <c r="AK101" i="1" s="1"/>
  <c r="D128" i="1"/>
  <c r="AL101" i="1" s="1"/>
  <c r="D129" i="1"/>
  <c r="AM101" i="1" s="1"/>
  <c r="D130" i="1"/>
  <c r="AN101" i="1" s="1"/>
  <c r="D131" i="1"/>
  <c r="AO101" i="1" s="1"/>
  <c r="D132" i="1"/>
  <c r="AP101" i="1" s="1"/>
  <c r="D133" i="1"/>
  <c r="AQ101" i="1" s="1"/>
  <c r="D134" i="1"/>
  <c r="AR101" i="1" s="1"/>
  <c r="D135" i="1"/>
  <c r="AS101" i="1" s="1"/>
  <c r="D136" i="1"/>
  <c r="D137" i="1"/>
  <c r="D138" i="1"/>
  <c r="D139" i="1"/>
  <c r="D140" i="1"/>
  <c r="D15" i="1"/>
  <c r="D22" i="1" s="1"/>
  <c r="D14" i="1"/>
  <c r="D21" i="1" s="1"/>
  <c r="D13" i="1"/>
  <c r="D20" i="1" s="1"/>
  <c r="D12" i="1"/>
  <c r="D19" i="1" s="1"/>
  <c r="D11" i="1"/>
  <c r="G42" i="1" s="1"/>
  <c r="D7" i="1"/>
  <c r="D6" i="1"/>
  <c r="D5" i="1"/>
  <c r="D4" i="1"/>
  <c r="D3" i="1"/>
  <c r="D8" i="1"/>
  <c r="D29" i="1" l="1"/>
  <c r="S26" i="1" s="1"/>
  <c r="S46" i="1"/>
  <c r="S66" i="1"/>
  <c r="S86" i="1"/>
  <c r="S116" i="1"/>
  <c r="S136" i="1"/>
  <c r="S166" i="1"/>
  <c r="S186" i="1"/>
  <c r="S216" i="1"/>
  <c r="S286" i="1"/>
  <c r="S3" i="1"/>
  <c r="S13" i="1"/>
  <c r="S23" i="1"/>
  <c r="S33" i="1"/>
  <c r="S43" i="1"/>
  <c r="S53" i="1"/>
  <c r="S63" i="1"/>
  <c r="S73" i="1"/>
  <c r="S83" i="1"/>
  <c r="S103" i="1"/>
  <c r="S113" i="1"/>
  <c r="S123" i="1"/>
  <c r="S133" i="1"/>
  <c r="S143" i="1"/>
  <c r="S153" i="1"/>
  <c r="S163" i="1"/>
  <c r="S173" i="1"/>
  <c r="S183" i="1"/>
  <c r="S203" i="1"/>
  <c r="S213" i="1"/>
  <c r="S223" i="1"/>
  <c r="S233" i="1"/>
  <c r="S243" i="1"/>
  <c r="S253" i="1"/>
  <c r="S263" i="1"/>
  <c r="S273" i="1"/>
  <c r="S283" i="1"/>
  <c r="S293" i="1"/>
  <c r="S16" i="1"/>
  <c r="S36" i="1"/>
  <c r="S56" i="1"/>
  <c r="S76" i="1"/>
  <c r="S96" i="1"/>
  <c r="S106" i="1"/>
  <c r="S126" i="1"/>
  <c r="S146" i="1"/>
  <c r="S156" i="1"/>
  <c r="S176" i="1"/>
  <c r="S196" i="1"/>
  <c r="S206" i="1"/>
  <c r="S226" i="1"/>
  <c r="S236" i="1"/>
  <c r="S246" i="1"/>
  <c r="S256" i="1"/>
  <c r="S266" i="1"/>
  <c r="S276" i="1"/>
  <c r="S296" i="1"/>
  <c r="S17" i="1"/>
  <c r="S37" i="1"/>
  <c r="S47" i="1"/>
  <c r="S67" i="1"/>
  <c r="S87" i="1"/>
  <c r="S107" i="1"/>
  <c r="S127" i="1"/>
  <c r="S137" i="1"/>
  <c r="S147" i="1"/>
  <c r="S157" i="1"/>
  <c r="S167" i="1"/>
  <c r="S187" i="1"/>
  <c r="S197" i="1"/>
  <c r="S207" i="1"/>
  <c r="S217" i="1"/>
  <c r="S227" i="1"/>
  <c r="S237" i="1"/>
  <c r="S247" i="1"/>
  <c r="S257" i="1"/>
  <c r="S267" i="1"/>
  <c r="S277" i="1"/>
  <c r="S287" i="1"/>
  <c r="S297" i="1"/>
  <c r="S7" i="1"/>
  <c r="S27" i="1"/>
  <c r="S57" i="1"/>
  <c r="S77" i="1"/>
  <c r="S97" i="1"/>
  <c r="S117" i="1"/>
  <c r="S177" i="1"/>
  <c r="S148" i="1"/>
  <c r="S298" i="1"/>
  <c r="S4" i="1"/>
  <c r="S14" i="1"/>
  <c r="S24" i="1"/>
  <c r="S34" i="1"/>
  <c r="S44" i="1"/>
  <c r="S54" i="1"/>
  <c r="S64" i="1"/>
  <c r="S74" i="1"/>
  <c r="S84" i="1"/>
  <c r="S94" i="1"/>
  <c r="S104" i="1"/>
  <c r="S114" i="1"/>
  <c r="S124" i="1"/>
  <c r="S134" i="1"/>
  <c r="S144" i="1"/>
  <c r="S154" i="1"/>
  <c r="S164" i="1"/>
  <c r="S174" i="1"/>
  <c r="S184" i="1"/>
  <c r="S194" i="1"/>
  <c r="S204" i="1"/>
  <c r="S214" i="1"/>
  <c r="S224" i="1"/>
  <c r="S234" i="1"/>
  <c r="S244" i="1"/>
  <c r="S254" i="1"/>
  <c r="S264" i="1"/>
  <c r="S274" i="1"/>
  <c r="S284" i="1"/>
  <c r="S294" i="1"/>
  <c r="S5" i="1"/>
  <c r="S15" i="1"/>
  <c r="S25" i="1"/>
  <c r="S35" i="1"/>
  <c r="S45" i="1"/>
  <c r="S55" i="1"/>
  <c r="S65" i="1"/>
  <c r="S75" i="1"/>
  <c r="S85" i="1"/>
  <c r="S95" i="1"/>
  <c r="S105" i="1"/>
  <c r="S115" i="1"/>
  <c r="S125" i="1"/>
  <c r="S135" i="1"/>
  <c r="S145" i="1"/>
  <c r="S155" i="1"/>
  <c r="S165" i="1"/>
  <c r="S175" i="1"/>
  <c r="S185" i="1"/>
  <c r="S195" i="1"/>
  <c r="S205" i="1"/>
  <c r="S215" i="1"/>
  <c r="S225" i="1"/>
  <c r="S235" i="1"/>
  <c r="S245" i="1"/>
  <c r="S255" i="1"/>
  <c r="S265" i="1"/>
  <c r="S275" i="1"/>
  <c r="S285" i="1"/>
  <c r="S295" i="1"/>
  <c r="S8" i="1"/>
  <c r="S28" i="1"/>
  <c r="S48" i="1"/>
  <c r="S68" i="1"/>
  <c r="S9" i="1"/>
  <c r="S19" i="1"/>
  <c r="S29" i="1"/>
  <c r="S39" i="1"/>
  <c r="S49" i="1"/>
  <c r="S59" i="1"/>
  <c r="S69" i="1"/>
  <c r="S79" i="1"/>
  <c r="S89" i="1"/>
  <c r="S99" i="1"/>
  <c r="S109" i="1"/>
  <c r="S119" i="1"/>
  <c r="S129" i="1"/>
  <c r="S139" i="1"/>
  <c r="S149" i="1"/>
  <c r="S159" i="1"/>
  <c r="S169" i="1"/>
  <c r="S179" i="1"/>
  <c r="S189" i="1"/>
  <c r="S199" i="1"/>
  <c r="S209" i="1"/>
  <c r="S219" i="1"/>
  <c r="S229" i="1"/>
  <c r="S239" i="1"/>
  <c r="S249" i="1"/>
  <c r="S259" i="1"/>
  <c r="S269" i="1"/>
  <c r="S279" i="1"/>
  <c r="S289" i="1"/>
  <c r="S299" i="1"/>
  <c r="S20" i="1"/>
  <c r="S40" i="1"/>
  <c r="S60" i="1"/>
  <c r="S80" i="1"/>
  <c r="S90" i="1"/>
  <c r="S100" i="1"/>
  <c r="S120" i="1"/>
  <c r="S130" i="1"/>
  <c r="S150" i="1"/>
  <c r="S180" i="1"/>
  <c r="S270" i="1"/>
  <c r="S11" i="1"/>
  <c r="S21" i="1"/>
  <c r="S31" i="1"/>
  <c r="S41" i="1"/>
  <c r="S51" i="1"/>
  <c r="S61" i="1"/>
  <c r="S71" i="1"/>
  <c r="S81" i="1"/>
  <c r="S91" i="1"/>
  <c r="S101" i="1"/>
  <c r="S111" i="1"/>
  <c r="S121" i="1"/>
  <c r="S131" i="1"/>
  <c r="S141" i="1"/>
  <c r="S151" i="1"/>
  <c r="S161" i="1"/>
  <c r="S171" i="1"/>
  <c r="S181" i="1"/>
  <c r="S191" i="1"/>
  <c r="S201" i="1"/>
  <c r="S211" i="1"/>
  <c r="S221" i="1"/>
  <c r="S231" i="1"/>
  <c r="S241" i="1"/>
  <c r="S251" i="1"/>
  <c r="S261" i="1"/>
  <c r="S271" i="1"/>
  <c r="S281" i="1"/>
  <c r="S291" i="1"/>
  <c r="S301" i="1"/>
  <c r="S18" i="1"/>
  <c r="S38" i="1"/>
  <c r="S58" i="1"/>
  <c r="S78" i="1"/>
  <c r="S88" i="1"/>
  <c r="S98" i="1"/>
  <c r="S108" i="1"/>
  <c r="S118" i="1"/>
  <c r="S128" i="1"/>
  <c r="S138" i="1"/>
  <c r="S158" i="1"/>
  <c r="S168" i="1"/>
  <c r="S178" i="1"/>
  <c r="S188" i="1"/>
  <c r="S198" i="1"/>
  <c r="S208" i="1"/>
  <c r="S218" i="1"/>
  <c r="S228" i="1"/>
  <c r="S238" i="1"/>
  <c r="S248" i="1"/>
  <c r="S258" i="1"/>
  <c r="S268" i="1"/>
  <c r="S278" i="1"/>
  <c r="S288" i="1"/>
  <c r="S10" i="1"/>
  <c r="S30" i="1"/>
  <c r="S50" i="1"/>
  <c r="S70" i="1"/>
  <c r="S110" i="1"/>
  <c r="S140" i="1"/>
  <c r="S160" i="1"/>
  <c r="S170" i="1"/>
  <c r="S190" i="1"/>
  <c r="S200" i="1"/>
  <c r="S210" i="1"/>
  <c r="S220" i="1"/>
  <c r="S230" i="1"/>
  <c r="S240" i="1"/>
  <c r="S250" i="1"/>
  <c r="S260" i="1"/>
  <c r="S280" i="1"/>
  <c r="S290" i="1"/>
  <c r="S300" i="1"/>
  <c r="S2" i="1"/>
  <c r="S12" i="1"/>
  <c r="S22" i="1"/>
  <c r="S32" i="1"/>
  <c r="S42" i="1"/>
  <c r="S52" i="1"/>
  <c r="S62" i="1"/>
  <c r="S72" i="1"/>
  <c r="S82" i="1"/>
  <c r="S92" i="1"/>
  <c r="S102" i="1"/>
  <c r="S112" i="1"/>
  <c r="S122" i="1"/>
  <c r="S132" i="1"/>
  <c r="S142" i="1"/>
  <c r="S152" i="1"/>
  <c r="S162" i="1"/>
  <c r="S172" i="1"/>
  <c r="S182" i="1"/>
  <c r="S192" i="1"/>
  <c r="S202" i="1"/>
  <c r="S212" i="1"/>
  <c r="S222" i="1"/>
  <c r="S232" i="1"/>
  <c r="S242" i="1"/>
  <c r="S252" i="1"/>
  <c r="S262" i="1"/>
  <c r="S272" i="1"/>
  <c r="S282" i="1"/>
  <c r="S292" i="1"/>
  <c r="D176" i="1"/>
  <c r="E176" i="1" s="1"/>
  <c r="E37" i="1"/>
  <c r="G56" i="1" s="1"/>
  <c r="E74" i="1" s="1"/>
  <c r="D28" i="1"/>
  <c r="E36" i="1"/>
  <c r="G53" i="1" s="1"/>
  <c r="E91" i="1" s="1"/>
  <c r="D26" i="1"/>
  <c r="D27" i="1"/>
  <c r="E34" i="1"/>
  <c r="G45" i="1" s="1"/>
  <c r="F63" i="1" s="1"/>
  <c r="E35" i="1"/>
  <c r="G50" i="1" s="1"/>
  <c r="F57" i="1"/>
  <c r="G41" i="1"/>
  <c r="G40" i="1"/>
  <c r="F58" i="1" s="1"/>
  <c r="G44" i="1"/>
  <c r="G43" i="1"/>
  <c r="E60" i="1"/>
  <c r="D18" i="1"/>
  <c r="D25" i="1" s="1"/>
  <c r="D17" i="1"/>
  <c r="T124" i="1" l="1"/>
  <c r="T24" i="1"/>
  <c r="T5" i="1"/>
  <c r="T204" i="1"/>
  <c r="T43" i="1"/>
  <c r="T71" i="1"/>
  <c r="T87" i="1"/>
  <c r="T236" i="1"/>
  <c r="T76" i="1"/>
  <c r="T133" i="1"/>
  <c r="T49" i="1"/>
  <c r="T185" i="1"/>
  <c r="T85" i="1"/>
  <c r="T67" i="1"/>
  <c r="T226" i="1"/>
  <c r="T115" i="1"/>
  <c r="T253" i="1"/>
  <c r="T274" i="1"/>
  <c r="T199" i="1"/>
  <c r="T218" i="1"/>
  <c r="T95" i="1"/>
  <c r="T92" i="1"/>
  <c r="T265" i="1"/>
  <c r="T165" i="1"/>
  <c r="T287" i="1"/>
  <c r="T196" i="1"/>
  <c r="T98" i="1"/>
  <c r="T51" i="1"/>
  <c r="T159" i="1"/>
  <c r="T195" i="1"/>
  <c r="T275" i="1"/>
  <c r="T282" i="1"/>
  <c r="T82" i="1"/>
  <c r="T72" i="1"/>
  <c r="T160" i="1"/>
  <c r="T19" i="1"/>
  <c r="T255" i="1"/>
  <c r="T155" i="1"/>
  <c r="T54" i="1"/>
  <c r="T148" i="1"/>
  <c r="T176" i="1"/>
  <c r="S193" i="1"/>
  <c r="S93" i="1"/>
  <c r="D172" i="1"/>
  <c r="T135" i="1" s="1"/>
  <c r="T234" i="1"/>
  <c r="T173" i="1"/>
  <c r="T210" i="1"/>
  <c r="T151" i="1"/>
  <c r="T259" i="1"/>
  <c r="T194" i="1"/>
  <c r="T202" i="1"/>
  <c r="T78" i="1"/>
  <c r="T231" i="1"/>
  <c r="T80" i="1"/>
  <c r="T75" i="1"/>
  <c r="T262" i="1"/>
  <c r="T162" i="1"/>
  <c r="T260" i="1"/>
  <c r="T301" i="1"/>
  <c r="T20" i="1"/>
  <c r="T244" i="1"/>
  <c r="T144" i="1"/>
  <c r="T44" i="1"/>
  <c r="T177" i="1"/>
  <c r="T157" i="1"/>
  <c r="T296" i="1"/>
  <c r="T106" i="1"/>
  <c r="AJ24" i="1"/>
  <c r="AJ34" i="1"/>
  <c r="AJ15" i="1"/>
  <c r="AJ25" i="1"/>
  <c r="AJ35" i="1"/>
  <c r="AJ45" i="1"/>
  <c r="AJ37" i="1"/>
  <c r="AJ47" i="1"/>
  <c r="AJ57" i="1"/>
  <c r="AJ67" i="1"/>
  <c r="AJ48" i="1"/>
  <c r="AJ58" i="1"/>
  <c r="AJ69" i="1"/>
  <c r="AJ79" i="1"/>
  <c r="AJ89" i="1"/>
  <c r="AJ50" i="1"/>
  <c r="AJ60" i="1"/>
  <c r="AJ70" i="1"/>
  <c r="AJ81" i="1"/>
  <c r="AJ91" i="1"/>
  <c r="AJ12" i="1"/>
  <c r="AJ22" i="1"/>
  <c r="AJ82" i="1"/>
  <c r="AJ92" i="1"/>
  <c r="AJ2" i="1"/>
  <c r="S6" i="1"/>
  <c r="T6" i="1" s="1"/>
  <c r="T183" i="1"/>
  <c r="T73" i="1"/>
  <c r="G55" i="1"/>
  <c r="E93" i="1" s="1"/>
  <c r="T286" i="1"/>
  <c r="E71" i="1"/>
  <c r="F74" i="1"/>
  <c r="E94" i="1"/>
  <c r="G54" i="1"/>
  <c r="E72" i="1" s="1"/>
  <c r="E63" i="1"/>
  <c r="F71" i="1"/>
  <c r="E83" i="1"/>
  <c r="G52" i="1"/>
  <c r="E90" i="1" s="1"/>
  <c r="G51" i="1"/>
  <c r="E89" i="1" s="1"/>
  <c r="E73" i="1"/>
  <c r="G47" i="1"/>
  <c r="E85" i="1" s="1"/>
  <c r="G46" i="1"/>
  <c r="F64" i="1" s="1"/>
  <c r="G48" i="1"/>
  <c r="G49" i="1"/>
  <c r="E80" i="1"/>
  <c r="F60" i="1"/>
  <c r="E61" i="1"/>
  <c r="E81" i="1"/>
  <c r="F61" i="1"/>
  <c r="E62" i="1"/>
  <c r="E82" i="1"/>
  <c r="F62" i="1"/>
  <c r="E58" i="1"/>
  <c r="E78" i="1"/>
  <c r="E79" i="1"/>
  <c r="F59" i="1"/>
  <c r="E59" i="1"/>
  <c r="E88" i="1"/>
  <c r="E68" i="1"/>
  <c r="F68" i="1"/>
  <c r="E57" i="1"/>
  <c r="T137" i="1" l="1"/>
  <c r="T13" i="1"/>
  <c r="T99" i="1"/>
  <c r="T247" i="1"/>
  <c r="T187" i="1"/>
  <c r="T212" i="1"/>
  <c r="T272" i="1"/>
  <c r="T208" i="1"/>
  <c r="T220" i="1"/>
  <c r="T284" i="1"/>
  <c r="T233" i="1"/>
  <c r="T246" i="1"/>
  <c r="T97" i="1"/>
  <c r="T251" i="1"/>
  <c r="T205" i="1"/>
  <c r="T240" i="1"/>
  <c r="T293" i="1"/>
  <c r="T79" i="1"/>
  <c r="T66" i="1"/>
  <c r="T130" i="1"/>
  <c r="T89" i="1"/>
  <c r="AJ56" i="1"/>
  <c r="T169" i="1"/>
  <c r="T219" i="1"/>
  <c r="T271" i="1"/>
  <c r="T50" i="1"/>
  <c r="AJ23" i="1"/>
  <c r="AJ11" i="1"/>
  <c r="AJ49" i="1"/>
  <c r="AJ46" i="1"/>
  <c r="AJ4" i="1"/>
  <c r="T270" i="1"/>
  <c r="T190" i="1"/>
  <c r="T30" i="1"/>
  <c r="T17" i="1"/>
  <c r="T40" i="1"/>
  <c r="T58" i="1"/>
  <c r="T132" i="1"/>
  <c r="T139" i="1"/>
  <c r="T206" i="1"/>
  <c r="T23" i="1"/>
  <c r="T222" i="1"/>
  <c r="T108" i="1"/>
  <c r="T42" i="1"/>
  <c r="AJ83" i="1"/>
  <c r="AJ59" i="1"/>
  <c r="T104" i="1"/>
  <c r="T101" i="1"/>
  <c r="T192" i="1"/>
  <c r="T171" i="1"/>
  <c r="T167" i="1"/>
  <c r="T158" i="1"/>
  <c r="T300" i="1"/>
  <c r="T235" i="1"/>
  <c r="T131" i="1"/>
  <c r="T197" i="1"/>
  <c r="T223" i="1"/>
  <c r="T179" i="1"/>
  <c r="T127" i="1"/>
  <c r="T68" i="1"/>
  <c r="T142" i="1"/>
  <c r="T119" i="1"/>
  <c r="T290" i="1"/>
  <c r="T105" i="1"/>
  <c r="AJ71" i="1"/>
  <c r="AJ14" i="1"/>
  <c r="T239" i="1"/>
  <c r="T182" i="1"/>
  <c r="T122" i="1"/>
  <c r="AJ13" i="1"/>
  <c r="AJ90" i="1"/>
  <c r="AJ78" i="1"/>
  <c r="AJ36" i="1"/>
  <c r="AJ3" i="1"/>
  <c r="AJ80" i="1"/>
  <c r="AJ68" i="1"/>
  <c r="AJ26" i="1"/>
  <c r="T83" i="1"/>
  <c r="T201" i="1"/>
  <c r="T90" i="1"/>
  <c r="T232" i="1"/>
  <c r="T277" i="1"/>
  <c r="T258" i="1"/>
  <c r="T2" i="1"/>
  <c r="T203" i="1"/>
  <c r="T178" i="1"/>
  <c r="T297" i="1"/>
  <c r="T56" i="1"/>
  <c r="T32" i="1"/>
  <c r="T15" i="1"/>
  <c r="T163" i="1"/>
  <c r="T242" i="1"/>
  <c r="T59" i="1"/>
  <c r="T276" i="1"/>
  <c r="T47" i="1"/>
  <c r="T261" i="1"/>
  <c r="T123" i="1"/>
  <c r="T161" i="1"/>
  <c r="T143" i="1"/>
  <c r="T117" i="1"/>
  <c r="T189" i="1"/>
  <c r="T37" i="1"/>
  <c r="T29" i="1"/>
  <c r="T175" i="1"/>
  <c r="T100" i="1"/>
  <c r="T35" i="1"/>
  <c r="T214" i="1"/>
  <c r="T243" i="1"/>
  <c r="T289" i="1"/>
  <c r="T280" i="1"/>
  <c r="T34" i="1"/>
  <c r="T129" i="1"/>
  <c r="T198" i="1"/>
  <c r="T285" i="1"/>
  <c r="T96" i="1"/>
  <c r="T152" i="1"/>
  <c r="T150" i="1"/>
  <c r="T45" i="1"/>
  <c r="T31" i="1"/>
  <c r="T229" i="1"/>
  <c r="T112" i="1"/>
  <c r="T238" i="1"/>
  <c r="T74" i="1"/>
  <c r="T8" i="1"/>
  <c r="T186" i="1"/>
  <c r="T81" i="1"/>
  <c r="T147" i="1"/>
  <c r="T128" i="1"/>
  <c r="T10" i="1"/>
  <c r="T91" i="1"/>
  <c r="T298" i="1"/>
  <c r="T60" i="1"/>
  <c r="T269" i="1"/>
  <c r="T174" i="1"/>
  <c r="T149" i="1"/>
  <c r="T257" i="1"/>
  <c r="T217" i="1"/>
  <c r="T107" i="1"/>
  <c r="T69" i="1"/>
  <c r="T63" i="1"/>
  <c r="T224" i="1"/>
  <c r="T181" i="1"/>
  <c r="T134" i="1"/>
  <c r="T207" i="1"/>
  <c r="T249" i="1"/>
  <c r="T27" i="1"/>
  <c r="T230" i="1"/>
  <c r="T227" i="1"/>
  <c r="T61" i="1"/>
  <c r="T25" i="1"/>
  <c r="T281" i="1"/>
  <c r="AJ16" i="1"/>
  <c r="T299" i="1"/>
  <c r="AJ73" i="1"/>
  <c r="AJ39" i="1"/>
  <c r="T138" i="1"/>
  <c r="AJ51" i="1"/>
  <c r="AJ18" i="1"/>
  <c r="AJ74" i="1"/>
  <c r="T245" i="1"/>
  <c r="T11" i="1"/>
  <c r="T64" i="1"/>
  <c r="T21" i="1"/>
  <c r="AJ53" i="1"/>
  <c r="AJ52" i="1"/>
  <c r="AJ41" i="1"/>
  <c r="AJ30" i="1"/>
  <c r="AJ19" i="1"/>
  <c r="AJ8" i="1"/>
  <c r="AJ86" i="1"/>
  <c r="AJ75" i="1"/>
  <c r="AJ64" i="1"/>
  <c r="T9" i="1"/>
  <c r="T140" i="1"/>
  <c r="T166" i="1"/>
  <c r="T16" i="1"/>
  <c r="T283" i="1"/>
  <c r="T154" i="1"/>
  <c r="T111" i="1"/>
  <c r="T221" i="1"/>
  <c r="T292" i="1"/>
  <c r="T22" i="1"/>
  <c r="T46" i="1"/>
  <c r="T164" i="1"/>
  <c r="T121" i="1"/>
  <c r="T41" i="1"/>
  <c r="T53" i="1"/>
  <c r="T113" i="1"/>
  <c r="T39" i="1"/>
  <c r="T146" i="1"/>
  <c r="T7" i="1"/>
  <c r="T241" i="1"/>
  <c r="T250" i="1"/>
  <c r="T94" i="1"/>
  <c r="T273" i="1"/>
  <c r="T57" i="1"/>
  <c r="T256" i="1"/>
  <c r="T263" i="1"/>
  <c r="T125" i="1"/>
  <c r="T118" i="1"/>
  <c r="T180" i="1"/>
  <c r="AJ38" i="1"/>
  <c r="AJ27" i="1"/>
  <c r="AJ5" i="1"/>
  <c r="AJ72" i="1"/>
  <c r="AJ28" i="1"/>
  <c r="AJ84" i="1"/>
  <c r="T172" i="1"/>
  <c r="AJ63" i="1"/>
  <c r="AJ40" i="1"/>
  <c r="AJ7" i="1"/>
  <c r="T156" i="1"/>
  <c r="T252" i="1"/>
  <c r="T52" i="1"/>
  <c r="AJ31" i="1"/>
  <c r="AJ9" i="1"/>
  <c r="AJ87" i="1"/>
  <c r="AJ76" i="1"/>
  <c r="AJ65" i="1"/>
  <c r="AJ54" i="1"/>
  <c r="T109" i="1"/>
  <c r="T237" i="1"/>
  <c r="T93" i="1"/>
  <c r="T254" i="1"/>
  <c r="T211" i="1"/>
  <c r="T168" i="1"/>
  <c r="T141" i="1"/>
  <c r="T153" i="1"/>
  <c r="T3" i="1"/>
  <c r="T264" i="1"/>
  <c r="T38" i="1"/>
  <c r="T188" i="1"/>
  <c r="T77" i="1"/>
  <c r="T213" i="1"/>
  <c r="T278" i="1"/>
  <c r="T191" i="1"/>
  <c r="T84" i="1"/>
  <c r="T12" i="1"/>
  <c r="T116" i="1"/>
  <c r="T294" i="1"/>
  <c r="T291" i="1"/>
  <c r="T4" i="1"/>
  <c r="T114" i="1"/>
  <c r="T126" i="1"/>
  <c r="T225" i="1"/>
  <c r="T228" i="1"/>
  <c r="T110" i="1"/>
  <c r="AJ61" i="1"/>
  <c r="AJ17" i="1"/>
  <c r="AJ6" i="1"/>
  <c r="T145" i="1"/>
  <c r="AJ62" i="1"/>
  <c r="AJ29" i="1"/>
  <c r="AJ85" i="1"/>
  <c r="T248" i="1"/>
  <c r="AJ43" i="1"/>
  <c r="AJ42" i="1"/>
  <c r="AJ20" i="1"/>
  <c r="T216" i="1"/>
  <c r="AJ33" i="1"/>
  <c r="AJ32" i="1"/>
  <c r="AJ21" i="1"/>
  <c r="AJ10" i="1"/>
  <c r="AJ88" i="1"/>
  <c r="AJ77" i="1"/>
  <c r="AJ66" i="1"/>
  <c r="AJ55" i="1"/>
  <c r="AJ44" i="1"/>
  <c r="T267" i="1"/>
  <c r="T209" i="1"/>
  <c r="T62" i="1"/>
  <c r="T200" i="1"/>
  <c r="T215" i="1"/>
  <c r="T193" i="1"/>
  <c r="T55" i="1"/>
  <c r="T18" i="1"/>
  <c r="T170" i="1"/>
  <c r="T288" i="1"/>
  <c r="T14" i="1"/>
  <c r="T103" i="1"/>
  <c r="T65" i="1"/>
  <c r="T268" i="1"/>
  <c r="T102" i="1"/>
  <c r="T279" i="1"/>
  <c r="T36" i="1"/>
  <c r="T88" i="1"/>
  <c r="T86" i="1"/>
  <c r="T184" i="1"/>
  <c r="T120" i="1"/>
  <c r="T33" i="1"/>
  <c r="T295" i="1"/>
  <c r="T136" i="1"/>
  <c r="T28" i="1"/>
  <c r="T266" i="1"/>
  <c r="T48" i="1"/>
  <c r="T70" i="1"/>
  <c r="T26" i="1"/>
  <c r="F73" i="1"/>
  <c r="F69" i="1"/>
  <c r="F72" i="1"/>
  <c r="E92" i="1"/>
  <c r="E64" i="1"/>
  <c r="E84" i="1"/>
  <c r="E65" i="1"/>
  <c r="E69" i="1"/>
  <c r="E70" i="1"/>
  <c r="F70" i="1"/>
  <c r="F65" i="1"/>
  <c r="E87" i="1"/>
  <c r="E67" i="1"/>
  <c r="F67" i="1"/>
  <c r="E86" i="1"/>
  <c r="E66" i="1"/>
  <c r="F66" i="1"/>
  <c r="D194" i="1" l="1"/>
  <c r="D182" i="1"/>
  <c r="AJ102" i="1" s="1"/>
  <c r="AJ103" i="1" s="1"/>
  <c r="D193" i="1"/>
  <c r="D185" i="1"/>
  <c r="AM102" i="1" s="1"/>
  <c r="AM103" i="1" s="1"/>
  <c r="AB3" i="1"/>
  <c r="AB12" i="1" s="1"/>
  <c r="D184" i="1"/>
  <c r="AL102" i="1" s="1"/>
  <c r="AL103" i="1" s="1"/>
  <c r="D189" i="1"/>
  <c r="AQ102" i="1" s="1"/>
  <c r="AQ103" i="1" s="1"/>
  <c r="AG3" i="1"/>
  <c r="AG4" i="1" s="1"/>
  <c r="AG13" i="1" s="1"/>
  <c r="D191" i="1"/>
  <c r="AS102" i="1" s="1"/>
  <c r="AS103" i="1" s="1"/>
  <c r="AF3" i="1"/>
  <c r="AF12" i="1" s="1"/>
  <c r="AF2" i="1"/>
  <c r="AF11" i="1" s="1"/>
  <c r="Y3" i="1"/>
  <c r="Y2" i="1"/>
  <c r="AG2" i="1"/>
  <c r="AG11" i="1" s="1"/>
  <c r="AC2" i="1"/>
  <c r="AC11" i="1" s="1"/>
  <c r="D192" i="1"/>
  <c r="D186" i="1"/>
  <c r="AN102" i="1" s="1"/>
  <c r="AN103" i="1" s="1"/>
  <c r="Y7" i="1"/>
  <c r="AD2" i="1"/>
  <c r="AD11" i="1" s="1"/>
  <c r="D187" i="1"/>
  <c r="AO102" i="1" s="1"/>
  <c r="AO103" i="1" s="1"/>
  <c r="AD3" i="1"/>
  <c r="AD12" i="1" s="1"/>
  <c r="Y10" i="1"/>
  <c r="AC3" i="1"/>
  <c r="AC4" i="1" s="1"/>
  <c r="AC13" i="1" s="1"/>
  <c r="D196" i="1"/>
  <c r="Y5" i="1"/>
  <c r="D188" i="1"/>
  <c r="AP102" i="1" s="1"/>
  <c r="AP103" i="1" s="1"/>
  <c r="Y8" i="1"/>
  <c r="AE2" i="1"/>
  <c r="AE11" i="1" s="1"/>
  <c r="Y4" i="1"/>
  <c r="Y6" i="1"/>
  <c r="AB2" i="1"/>
  <c r="AB11" i="1" s="1"/>
  <c r="D183" i="1"/>
  <c r="AK102" i="1" s="1"/>
  <c r="AK103" i="1" s="1"/>
  <c r="Y9" i="1"/>
  <c r="AE3" i="1"/>
  <c r="AE4" i="1" s="1"/>
  <c r="AE13" i="1" s="1"/>
  <c r="D195" i="1"/>
  <c r="D190" i="1"/>
  <c r="AR102" i="1" s="1"/>
  <c r="AR103" i="1" s="1"/>
  <c r="C245" i="1"/>
  <c r="AB4" i="1" l="1"/>
  <c r="AB13" i="1" s="1"/>
  <c r="AF4" i="1"/>
  <c r="AF13" i="1" s="1"/>
  <c r="AG12" i="1"/>
  <c r="AD4" i="1"/>
  <c r="AD13" i="1" s="1"/>
  <c r="AE12" i="1"/>
  <c r="AC12" i="1"/>
  <c r="AG6" i="1"/>
  <c r="AG7" i="1" s="1"/>
  <c r="AG15" i="1" s="1"/>
  <c r="AG5" i="1"/>
  <c r="AG14" i="1" s="1"/>
  <c r="AB6" i="1"/>
  <c r="AB7" i="1" s="1"/>
  <c r="AB15" i="1" s="1"/>
  <c r="AC6" i="1"/>
  <c r="AC7" i="1" s="1"/>
  <c r="AC15" i="1" s="1"/>
  <c r="AE5" i="1"/>
  <c r="AE14" i="1" s="1"/>
  <c r="AE6" i="1"/>
  <c r="AE9" i="1" s="1"/>
  <c r="AE17" i="1" s="1"/>
  <c r="AC5" i="1"/>
  <c r="AC14" i="1" s="1"/>
  <c r="AB5" i="1"/>
  <c r="AB14" i="1" s="1"/>
  <c r="AF6" i="1" l="1"/>
  <c r="AF8" i="1" s="1"/>
  <c r="AF16" i="1" s="1"/>
  <c r="AF5" i="1"/>
  <c r="AF14" i="1" s="1"/>
  <c r="AG9" i="1"/>
  <c r="AG17" i="1" s="1"/>
  <c r="AG8" i="1"/>
  <c r="AG16" i="1" s="1"/>
  <c r="AD5" i="1"/>
  <c r="AD14" i="1" s="1"/>
  <c r="AC8" i="1"/>
  <c r="AC16" i="1" s="1"/>
  <c r="AC9" i="1"/>
  <c r="AC17" i="1" s="1"/>
  <c r="AD6" i="1"/>
  <c r="AD8" i="1" s="1"/>
  <c r="AD16" i="1" s="1"/>
  <c r="AB9" i="1"/>
  <c r="AB17" i="1" s="1"/>
  <c r="AB8" i="1"/>
  <c r="AB16" i="1" s="1"/>
  <c r="AE8" i="1"/>
  <c r="AE16" i="1" s="1"/>
  <c r="AF9" i="1"/>
  <c r="AF17" i="1" s="1"/>
  <c r="AE7" i="1"/>
  <c r="AE15" i="1" s="1"/>
  <c r="AF7" i="1"/>
  <c r="AF15" i="1" s="1"/>
  <c r="AD9" i="1" l="1"/>
  <c r="AD17" i="1" s="1"/>
  <c r="AD7" i="1"/>
  <c r="AD15" i="1" s="1"/>
</calcChain>
</file>

<file path=xl/sharedStrings.xml><?xml version="1.0" encoding="utf-8"?>
<sst xmlns="http://schemas.openxmlformats.org/spreadsheetml/2006/main" count="133" uniqueCount="99">
  <si>
    <t>оценка мат ожидания</t>
  </si>
  <si>
    <t>оценка дисперсии</t>
  </si>
  <si>
    <t>оценка коэф вариации</t>
  </si>
  <si>
    <t>доверительные интервалы</t>
  </si>
  <si>
    <t>оценка СКО для СВ</t>
  </si>
  <si>
    <t>СКО оценки МО</t>
  </si>
  <si>
    <t>Полуинт дов инт</t>
  </si>
  <si>
    <t>относительн откл</t>
  </si>
  <si>
    <t>№1</t>
  </si>
  <si>
    <t>№2</t>
  </si>
  <si>
    <t>Диаграмма</t>
  </si>
  <si>
    <t>Автокорреляционный анализ</t>
  </si>
  <si>
    <t>k = 1</t>
  </si>
  <si>
    <t>k = 2</t>
  </si>
  <si>
    <t>k = 3</t>
  </si>
  <si>
    <t>k = 4</t>
  </si>
  <si>
    <t>k = 5</t>
  </si>
  <si>
    <t>k = 6</t>
  </si>
  <si>
    <t>k = 7</t>
  </si>
  <si>
    <t>k = 8</t>
  </si>
  <si>
    <t>k = 9</t>
  </si>
  <si>
    <t>k = 10</t>
  </si>
  <si>
    <t>k = 11</t>
  </si>
  <si>
    <t>k = 12</t>
  </si>
  <si>
    <t>k = 13</t>
  </si>
  <si>
    <t>k = 14</t>
  </si>
  <si>
    <t>k = 15</t>
  </si>
  <si>
    <t>Аппроксимация закона распределения</t>
  </si>
  <si>
    <t>№3</t>
  </si>
  <si>
    <t>Гистограмма распределения частот</t>
  </si>
  <si>
    <t>№4</t>
  </si>
  <si>
    <t>№5</t>
  </si>
  <si>
    <t>q =</t>
  </si>
  <si>
    <t>t1 =</t>
  </si>
  <si>
    <t>t2 =</t>
  </si>
  <si>
    <t>слчис</t>
  </si>
  <si>
    <t>фаза</t>
  </si>
  <si>
    <t>X</t>
  </si>
  <si>
    <t>№6</t>
  </si>
  <si>
    <t>Генератор СВ</t>
  </si>
  <si>
    <t>№7</t>
  </si>
  <si>
    <t>Сгенерировать последовательность</t>
  </si>
  <si>
    <t>См. R1</t>
  </si>
  <si>
    <t>№8</t>
  </si>
  <si>
    <t>№9</t>
  </si>
  <si>
    <t>Сравнительный анализ</t>
  </si>
  <si>
    <t>Интервал</t>
  </si>
  <si>
    <t>Сгенерированная</t>
  </si>
  <si>
    <t>Исходная</t>
  </si>
  <si>
    <t>0-100</t>
  </si>
  <si>
    <t>100-200</t>
  </si>
  <si>
    <t>200-300</t>
  </si>
  <si>
    <t>300-400</t>
  </si>
  <si>
    <t>400-500</t>
  </si>
  <si>
    <t>500-600</t>
  </si>
  <si>
    <t>600-700</t>
  </si>
  <si>
    <t>700-800</t>
  </si>
  <si>
    <t>800-900</t>
  </si>
  <si>
    <t>№10</t>
  </si>
  <si>
    <t>Корелляционная зависимость</t>
  </si>
  <si>
    <t>Среднее</t>
  </si>
  <si>
    <t>Дисперсия</t>
  </si>
  <si>
    <t>СКО</t>
  </si>
  <si>
    <t>Коэф. вариации</t>
  </si>
  <si>
    <t>Станд. ошибка</t>
  </si>
  <si>
    <t>ДИ 0,90</t>
  </si>
  <si>
    <t>ДИ 0,95</t>
  </si>
  <si>
    <t>ДИ 0,99</t>
  </si>
  <si>
    <t>% среднего</t>
  </si>
  <si>
    <t>% дисперсии</t>
  </si>
  <si>
    <t>% СКО</t>
  </si>
  <si>
    <t>% коэф. вариации</t>
  </si>
  <si>
    <t>% ДИ 0,90</t>
  </si>
  <si>
    <t>% ДИ 0,95</t>
  </si>
  <si>
    <t>% ДИ 0,99</t>
  </si>
  <si>
    <t>x</t>
  </si>
  <si>
    <t>f(x)</t>
  </si>
  <si>
    <t xml:space="preserve">Интервал </t>
  </si>
  <si>
    <t>Середина</t>
  </si>
  <si>
    <t>Частота</t>
  </si>
  <si>
    <t>Плотность</t>
  </si>
  <si>
    <t>исх.</t>
  </si>
  <si>
    <t>сген.</t>
  </si>
  <si>
    <t>%</t>
  </si>
  <si>
    <t>насколько знач разбросаны относительно среднего</t>
  </si>
  <si>
    <t>корень из дисперсии</t>
  </si>
  <si>
    <t>относительная мера разброса</t>
  </si>
  <si>
    <t>некоторый диапазон вокруг среднего выборки в котором с заданной дов вероятностью будет настоящее мат ожидание</t>
  </si>
  <si>
    <t>стандартная ошибка среднего</t>
  </si>
  <si>
    <t>чтобы понимать насколько велико отклонение относительно среднего</t>
  </si>
  <si>
    <t>немонотонна, выраженной переодичности нет, значения выглядят хаотично</t>
  </si>
  <si>
    <t>(проверям зависимость между элементами)</t>
  </si>
  <si>
    <t>распределение скошено вправо</t>
  </si>
  <si>
    <t>(аппроксимировать - подобрать изв закон распред, который приближ описывает наши данные)</t>
  </si>
  <si>
    <t>нач момент m1=E[X] m2 = E[X^2]</t>
  </si>
  <si>
    <t>D = m2 - m1^2</t>
  </si>
  <si>
    <t>есть ли связь между значением исх последоватеьности и значением на той же позиции сгенерированной</t>
  </si>
  <si>
    <t>исх и сген посл почти не коррелируют</t>
  </si>
  <si>
    <t>слчис	фаза	X
0,025883581	1	123,4012876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</si>
</sst>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0"/>
      <color theme="1"/>
      <name val="Arial Unicode MS"/>
      <family val="2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/>
    <xf numFmtId="0" fontId="0" fillId="3" borderId="0" xfId="0" applyFill="1"/>
    <xf numFmtId="164" fontId="0" fillId="3" borderId="0" xfId="0" applyNumberFormat="1" applyFill="1"/>
    <xf numFmtId="0" fontId="0" fillId="0" borderId="0" xfId="0" applyAlignment="1">
      <alignment horizontal="right"/>
    </xf>
    <xf numFmtId="0" fontId="4" fillId="0" borderId="0" xfId="0" applyFont="1"/>
    <xf numFmtId="164" fontId="2" fillId="0" borderId="0" xfId="0" applyNumberFormat="1" applyFont="1"/>
    <xf numFmtId="0" fontId="0" fillId="3" borderId="0" xfId="0" applyFill="1" applyAlignment="1">
      <alignment horizontal="right"/>
    </xf>
    <xf numFmtId="0" fontId="4" fillId="3" borderId="0" xfId="0" applyFont="1" applyFill="1"/>
    <xf numFmtId="0" fontId="0" fillId="0" borderId="0" xfId="0" applyAlignment="1">
      <alignment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Лист1!$O$1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Лист1!$N$6:$N$307</c:f>
              <c:numCache>
                <c:formatCode>General</c:formatCode>
                <c:ptCount val="30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  <c:pt idx="200">
                  <c:v>205</c:v>
                </c:pt>
                <c:pt idx="201">
                  <c:v>206</c:v>
                </c:pt>
                <c:pt idx="202">
                  <c:v>207</c:v>
                </c:pt>
                <c:pt idx="203">
                  <c:v>208</c:v>
                </c:pt>
                <c:pt idx="204">
                  <c:v>209</c:v>
                </c:pt>
                <c:pt idx="205">
                  <c:v>210</c:v>
                </c:pt>
                <c:pt idx="206">
                  <c:v>211</c:v>
                </c:pt>
                <c:pt idx="207">
                  <c:v>212</c:v>
                </c:pt>
                <c:pt idx="208">
                  <c:v>213</c:v>
                </c:pt>
                <c:pt idx="209">
                  <c:v>214</c:v>
                </c:pt>
                <c:pt idx="210">
                  <c:v>215</c:v>
                </c:pt>
                <c:pt idx="211">
                  <c:v>216</c:v>
                </c:pt>
                <c:pt idx="212">
                  <c:v>217</c:v>
                </c:pt>
                <c:pt idx="213">
                  <c:v>218</c:v>
                </c:pt>
                <c:pt idx="214">
                  <c:v>219</c:v>
                </c:pt>
                <c:pt idx="215">
                  <c:v>220</c:v>
                </c:pt>
                <c:pt idx="216">
                  <c:v>221</c:v>
                </c:pt>
                <c:pt idx="217">
                  <c:v>222</c:v>
                </c:pt>
                <c:pt idx="218">
                  <c:v>223</c:v>
                </c:pt>
                <c:pt idx="219">
                  <c:v>224</c:v>
                </c:pt>
                <c:pt idx="220">
                  <c:v>225</c:v>
                </c:pt>
                <c:pt idx="221">
                  <c:v>226</c:v>
                </c:pt>
                <c:pt idx="222">
                  <c:v>227</c:v>
                </c:pt>
                <c:pt idx="223">
                  <c:v>228</c:v>
                </c:pt>
                <c:pt idx="224">
                  <c:v>229</c:v>
                </c:pt>
                <c:pt idx="225">
                  <c:v>230</c:v>
                </c:pt>
                <c:pt idx="226">
                  <c:v>231</c:v>
                </c:pt>
                <c:pt idx="227">
                  <c:v>232</c:v>
                </c:pt>
                <c:pt idx="228">
                  <c:v>233</c:v>
                </c:pt>
                <c:pt idx="229">
                  <c:v>234</c:v>
                </c:pt>
                <c:pt idx="230">
                  <c:v>235</c:v>
                </c:pt>
                <c:pt idx="231">
                  <c:v>236</c:v>
                </c:pt>
                <c:pt idx="232">
                  <c:v>237</c:v>
                </c:pt>
                <c:pt idx="233">
                  <c:v>238</c:v>
                </c:pt>
                <c:pt idx="234">
                  <c:v>239</c:v>
                </c:pt>
                <c:pt idx="235">
                  <c:v>240</c:v>
                </c:pt>
                <c:pt idx="236">
                  <c:v>241</c:v>
                </c:pt>
                <c:pt idx="237">
                  <c:v>242</c:v>
                </c:pt>
                <c:pt idx="238">
                  <c:v>243</c:v>
                </c:pt>
                <c:pt idx="239">
                  <c:v>244</c:v>
                </c:pt>
                <c:pt idx="240">
                  <c:v>245</c:v>
                </c:pt>
                <c:pt idx="241">
                  <c:v>246</c:v>
                </c:pt>
                <c:pt idx="242">
                  <c:v>247</c:v>
                </c:pt>
                <c:pt idx="243">
                  <c:v>248</c:v>
                </c:pt>
                <c:pt idx="244">
                  <c:v>249</c:v>
                </c:pt>
                <c:pt idx="245">
                  <c:v>250</c:v>
                </c:pt>
                <c:pt idx="246">
                  <c:v>251</c:v>
                </c:pt>
                <c:pt idx="247">
                  <c:v>252</c:v>
                </c:pt>
                <c:pt idx="248">
                  <c:v>253</c:v>
                </c:pt>
                <c:pt idx="249">
                  <c:v>254</c:v>
                </c:pt>
                <c:pt idx="250">
                  <c:v>255</c:v>
                </c:pt>
                <c:pt idx="251">
                  <c:v>256</c:v>
                </c:pt>
                <c:pt idx="252">
                  <c:v>257</c:v>
                </c:pt>
                <c:pt idx="253">
                  <c:v>258</c:v>
                </c:pt>
                <c:pt idx="254">
                  <c:v>259</c:v>
                </c:pt>
                <c:pt idx="255">
                  <c:v>260</c:v>
                </c:pt>
                <c:pt idx="256">
                  <c:v>261</c:v>
                </c:pt>
                <c:pt idx="257">
                  <c:v>262</c:v>
                </c:pt>
                <c:pt idx="258">
                  <c:v>263</c:v>
                </c:pt>
                <c:pt idx="259">
                  <c:v>264</c:v>
                </c:pt>
                <c:pt idx="260">
                  <c:v>265</c:v>
                </c:pt>
                <c:pt idx="261">
                  <c:v>266</c:v>
                </c:pt>
                <c:pt idx="262">
                  <c:v>267</c:v>
                </c:pt>
                <c:pt idx="263">
                  <c:v>268</c:v>
                </c:pt>
                <c:pt idx="264">
                  <c:v>269</c:v>
                </c:pt>
                <c:pt idx="265">
                  <c:v>270</c:v>
                </c:pt>
                <c:pt idx="266">
                  <c:v>271</c:v>
                </c:pt>
                <c:pt idx="267">
                  <c:v>272</c:v>
                </c:pt>
                <c:pt idx="268">
                  <c:v>273</c:v>
                </c:pt>
                <c:pt idx="269">
                  <c:v>274</c:v>
                </c:pt>
                <c:pt idx="270">
                  <c:v>275</c:v>
                </c:pt>
                <c:pt idx="271">
                  <c:v>276</c:v>
                </c:pt>
                <c:pt idx="272">
                  <c:v>277</c:v>
                </c:pt>
                <c:pt idx="273">
                  <c:v>278</c:v>
                </c:pt>
                <c:pt idx="274">
                  <c:v>279</c:v>
                </c:pt>
                <c:pt idx="275">
                  <c:v>280</c:v>
                </c:pt>
                <c:pt idx="276">
                  <c:v>281</c:v>
                </c:pt>
                <c:pt idx="277">
                  <c:v>282</c:v>
                </c:pt>
                <c:pt idx="278">
                  <c:v>283</c:v>
                </c:pt>
                <c:pt idx="279">
                  <c:v>284</c:v>
                </c:pt>
                <c:pt idx="280">
                  <c:v>285</c:v>
                </c:pt>
                <c:pt idx="281">
                  <c:v>286</c:v>
                </c:pt>
                <c:pt idx="282">
                  <c:v>287</c:v>
                </c:pt>
                <c:pt idx="283">
                  <c:v>288</c:v>
                </c:pt>
                <c:pt idx="284">
                  <c:v>289</c:v>
                </c:pt>
                <c:pt idx="285">
                  <c:v>290</c:v>
                </c:pt>
                <c:pt idx="286">
                  <c:v>291</c:v>
                </c:pt>
                <c:pt idx="287">
                  <c:v>292</c:v>
                </c:pt>
                <c:pt idx="288">
                  <c:v>293</c:v>
                </c:pt>
                <c:pt idx="289">
                  <c:v>294</c:v>
                </c:pt>
                <c:pt idx="290">
                  <c:v>295</c:v>
                </c:pt>
                <c:pt idx="291">
                  <c:v>296</c:v>
                </c:pt>
                <c:pt idx="292">
                  <c:v>297</c:v>
                </c:pt>
                <c:pt idx="293">
                  <c:v>298</c:v>
                </c:pt>
                <c:pt idx="294">
                  <c:v>299</c:v>
                </c:pt>
                <c:pt idx="295">
                  <c:v>300</c:v>
                </c:pt>
              </c:numCache>
            </c:numRef>
          </c:xVal>
          <c:yVal>
            <c:numRef>
              <c:f>Лист1!$O$6:$O$307</c:f>
              <c:numCache>
                <c:formatCode>0.000</c:formatCode>
                <c:ptCount val="302"/>
                <c:pt idx="0">
                  <c:v>51.326151059657448</c:v>
                </c:pt>
                <c:pt idx="1">
                  <c:v>24.183152991327525</c:v>
                </c:pt>
                <c:pt idx="2">
                  <c:v>10.683053805638794</c:v>
                </c:pt>
                <c:pt idx="3">
                  <c:v>36.01781894174718</c:v>
                </c:pt>
                <c:pt idx="4">
                  <c:v>40.42597327587692</c:v>
                </c:pt>
                <c:pt idx="5">
                  <c:v>77.790716939397342</c:v>
                </c:pt>
                <c:pt idx="6">
                  <c:v>135.49374549881296</c:v>
                </c:pt>
                <c:pt idx="7">
                  <c:v>6.4003923294621679</c:v>
                </c:pt>
                <c:pt idx="8">
                  <c:v>74.126156539397641</c:v>
                </c:pt>
                <c:pt idx="9">
                  <c:v>27.731342367451433</c:v>
                </c:pt>
                <c:pt idx="10">
                  <c:v>121.80252559702726</c:v>
                </c:pt>
                <c:pt idx="11">
                  <c:v>114.83037627393378</c:v>
                </c:pt>
                <c:pt idx="12">
                  <c:v>223.11856007615171</c:v>
                </c:pt>
                <c:pt idx="13">
                  <c:v>120.04746548860702</c:v>
                </c:pt>
                <c:pt idx="14">
                  <c:v>210.23301897494684</c:v>
                </c:pt>
                <c:pt idx="15">
                  <c:v>51.325932805972798</c:v>
                </c:pt>
                <c:pt idx="16">
                  <c:v>32.233352360846325</c:v>
                </c:pt>
                <c:pt idx="17">
                  <c:v>199.47854130457375</c:v>
                </c:pt>
                <c:pt idx="18">
                  <c:v>228.15889709876248</c:v>
                </c:pt>
                <c:pt idx="19">
                  <c:v>332.8365047305067</c:v>
                </c:pt>
                <c:pt idx="20">
                  <c:v>298.39815278538231</c:v>
                </c:pt>
                <c:pt idx="21">
                  <c:v>294.74241928560895</c:v>
                </c:pt>
                <c:pt idx="22">
                  <c:v>140.40012957475173</c:v>
                </c:pt>
                <c:pt idx="23">
                  <c:v>283.82086389149845</c:v>
                </c:pt>
                <c:pt idx="24">
                  <c:v>145.55052656247778</c:v>
                </c:pt>
                <c:pt idx="25">
                  <c:v>120.06199421515824</c:v>
                </c:pt>
                <c:pt idx="26">
                  <c:v>13.955383317094334</c:v>
                </c:pt>
                <c:pt idx="27">
                  <c:v>73.77463676588404</c:v>
                </c:pt>
                <c:pt idx="28">
                  <c:v>236.72218414514444</c:v>
                </c:pt>
                <c:pt idx="29">
                  <c:v>185.47483409137726</c:v>
                </c:pt>
                <c:pt idx="30">
                  <c:v>12.806993178656727</c:v>
                </c:pt>
                <c:pt idx="31">
                  <c:v>72.69776836450734</c:v>
                </c:pt>
                <c:pt idx="32">
                  <c:v>83.595730990234372</c:v>
                </c:pt>
                <c:pt idx="33">
                  <c:v>21.099405842331485</c:v>
                </c:pt>
                <c:pt idx="34">
                  <c:v>65.708805017700399</c:v>
                </c:pt>
                <c:pt idx="35">
                  <c:v>104.09909035438559</c:v>
                </c:pt>
                <c:pt idx="36">
                  <c:v>66.382307018718066</c:v>
                </c:pt>
                <c:pt idx="37">
                  <c:v>11.083082367359944</c:v>
                </c:pt>
                <c:pt idx="38">
                  <c:v>355.48157518701856</c:v>
                </c:pt>
                <c:pt idx="39">
                  <c:v>0.14584900490195477</c:v>
                </c:pt>
                <c:pt idx="40">
                  <c:v>97.513958661694176</c:v>
                </c:pt>
                <c:pt idx="41">
                  <c:v>21.15128116687827</c:v>
                </c:pt>
                <c:pt idx="42">
                  <c:v>143.71783948575757</c:v>
                </c:pt>
                <c:pt idx="43">
                  <c:v>41.060490809921276</c:v>
                </c:pt>
                <c:pt idx="44">
                  <c:v>135.65818781794923</c:v>
                </c:pt>
                <c:pt idx="45">
                  <c:v>13.871631347063044</c:v>
                </c:pt>
                <c:pt idx="46">
                  <c:v>37.048663114304631</c:v>
                </c:pt>
                <c:pt idx="47">
                  <c:v>135.06522010285985</c:v>
                </c:pt>
                <c:pt idx="48">
                  <c:v>153.97921341053964</c:v>
                </c:pt>
                <c:pt idx="49">
                  <c:v>290.08670842724166</c:v>
                </c:pt>
                <c:pt idx="50">
                  <c:v>52.282449912907765</c:v>
                </c:pt>
                <c:pt idx="51">
                  <c:v>64.039922604567948</c:v>
                </c:pt>
                <c:pt idx="52">
                  <c:v>63.850946545342296</c:v>
                </c:pt>
                <c:pt idx="53">
                  <c:v>133.92007784537458</c:v>
                </c:pt>
                <c:pt idx="54">
                  <c:v>103.56214210024875</c:v>
                </c:pt>
                <c:pt idx="55">
                  <c:v>47.71871844680112</c:v>
                </c:pt>
                <c:pt idx="56">
                  <c:v>117.28273089107789</c:v>
                </c:pt>
                <c:pt idx="57">
                  <c:v>16.608238877616607</c:v>
                </c:pt>
                <c:pt idx="58">
                  <c:v>57.477375125537776</c:v>
                </c:pt>
                <c:pt idx="59">
                  <c:v>29.867589320966673</c:v>
                </c:pt>
                <c:pt idx="60">
                  <c:v>192.8171960894359</c:v>
                </c:pt>
                <c:pt idx="61">
                  <c:v>101.08042279552095</c:v>
                </c:pt>
                <c:pt idx="62">
                  <c:v>34.947104110694625</c:v>
                </c:pt>
                <c:pt idx="63">
                  <c:v>58.338269720887524</c:v>
                </c:pt>
                <c:pt idx="64">
                  <c:v>13.487805369210943</c:v>
                </c:pt>
                <c:pt idx="65">
                  <c:v>3.984522505038135</c:v>
                </c:pt>
                <c:pt idx="66">
                  <c:v>32.143517832682832</c:v>
                </c:pt>
                <c:pt idx="67">
                  <c:v>440.43308464903168</c:v>
                </c:pt>
                <c:pt idx="68">
                  <c:v>4.4053371720880419</c:v>
                </c:pt>
                <c:pt idx="69">
                  <c:v>479.72778395515229</c:v>
                </c:pt>
                <c:pt idx="70">
                  <c:v>26.537620109599104</c:v>
                </c:pt>
                <c:pt idx="71">
                  <c:v>108.29099899507295</c:v>
                </c:pt>
                <c:pt idx="72">
                  <c:v>41.805694535796007</c:v>
                </c:pt>
                <c:pt idx="73">
                  <c:v>20.187252221502867</c:v>
                </c:pt>
                <c:pt idx="74">
                  <c:v>70.894691482758049</c:v>
                </c:pt>
                <c:pt idx="75">
                  <c:v>48.035388096709156</c:v>
                </c:pt>
                <c:pt idx="76">
                  <c:v>273.348240695821</c:v>
                </c:pt>
                <c:pt idx="77">
                  <c:v>206.96623707182874</c:v>
                </c:pt>
                <c:pt idx="78">
                  <c:v>145.52540758693672</c:v>
                </c:pt>
                <c:pt idx="79">
                  <c:v>6.7535028140533315</c:v>
                </c:pt>
                <c:pt idx="80">
                  <c:v>887.03667265792683</c:v>
                </c:pt>
                <c:pt idx="81">
                  <c:v>106.43023601456667</c:v>
                </c:pt>
                <c:pt idx="82">
                  <c:v>27.323703540923105</c:v>
                </c:pt>
                <c:pt idx="83">
                  <c:v>281.81907283169147</c:v>
                </c:pt>
                <c:pt idx="84">
                  <c:v>20.662492106188036</c:v>
                </c:pt>
                <c:pt idx="85">
                  <c:v>131.95690619816668</c:v>
                </c:pt>
                <c:pt idx="86">
                  <c:v>195.96238752893316</c:v>
                </c:pt>
                <c:pt idx="87">
                  <c:v>75.680076313249927</c:v>
                </c:pt>
                <c:pt idx="88">
                  <c:v>229.0606664787428</c:v>
                </c:pt>
                <c:pt idx="89">
                  <c:v>130.06575845661058</c:v>
                </c:pt>
                <c:pt idx="90">
                  <c:v>129.03673043070847</c:v>
                </c:pt>
                <c:pt idx="91">
                  <c:v>433.77127678317828</c:v>
                </c:pt>
                <c:pt idx="92">
                  <c:v>220.5553667373203</c:v>
                </c:pt>
                <c:pt idx="93">
                  <c:v>214.19503008776275</c:v>
                </c:pt>
                <c:pt idx="94">
                  <c:v>90.509238842225287</c:v>
                </c:pt>
                <c:pt idx="95">
                  <c:v>155.98516171684633</c:v>
                </c:pt>
                <c:pt idx="96">
                  <c:v>36.849892720416953</c:v>
                </c:pt>
                <c:pt idx="97">
                  <c:v>326.32997493380168</c:v>
                </c:pt>
                <c:pt idx="98">
                  <c:v>654.62713712076084</c:v>
                </c:pt>
                <c:pt idx="99">
                  <c:v>115.4648198547265</c:v>
                </c:pt>
                <c:pt idx="100">
                  <c:v>243.65470085618085</c:v>
                </c:pt>
                <c:pt idx="101">
                  <c:v>215.15059280494739</c:v>
                </c:pt>
                <c:pt idx="102">
                  <c:v>82.971481830108885</c:v>
                </c:pt>
                <c:pt idx="103">
                  <c:v>325.033849707039</c:v>
                </c:pt>
                <c:pt idx="104">
                  <c:v>74.196269390149482</c:v>
                </c:pt>
                <c:pt idx="105">
                  <c:v>88.394220714139919</c:v>
                </c:pt>
                <c:pt idx="106">
                  <c:v>76.927029209636316</c:v>
                </c:pt>
                <c:pt idx="107">
                  <c:v>141.62302707842622</c:v>
                </c:pt>
                <c:pt idx="108">
                  <c:v>12.698507966118147</c:v>
                </c:pt>
                <c:pt idx="109">
                  <c:v>29.290265299527341</c:v>
                </c:pt>
                <c:pt idx="110">
                  <c:v>98.749475727860286</c:v>
                </c:pt>
                <c:pt idx="111">
                  <c:v>7.7667367024418965</c:v>
                </c:pt>
                <c:pt idx="112">
                  <c:v>206.57309963356838</c:v>
                </c:pt>
                <c:pt idx="113">
                  <c:v>148.36872802554123</c:v>
                </c:pt>
                <c:pt idx="114">
                  <c:v>7.8098919662992463</c:v>
                </c:pt>
                <c:pt idx="115">
                  <c:v>138.68381167808099</c:v>
                </c:pt>
                <c:pt idx="116">
                  <c:v>141.20872568592765</c:v>
                </c:pt>
                <c:pt idx="117">
                  <c:v>5.1879554362129179</c:v>
                </c:pt>
                <c:pt idx="118">
                  <c:v>21.277540911922657</c:v>
                </c:pt>
                <c:pt idx="119">
                  <c:v>11.710939114343567</c:v>
                </c:pt>
                <c:pt idx="120">
                  <c:v>306.16173042080726</c:v>
                </c:pt>
                <c:pt idx="121">
                  <c:v>71.498376447658714</c:v>
                </c:pt>
                <c:pt idx="122">
                  <c:v>166.36857418562474</c:v>
                </c:pt>
                <c:pt idx="123">
                  <c:v>518.71187977849343</c:v>
                </c:pt>
                <c:pt idx="124">
                  <c:v>108.53519487571036</c:v>
                </c:pt>
                <c:pt idx="125">
                  <c:v>315.9805303283469</c:v>
                </c:pt>
                <c:pt idx="126">
                  <c:v>115.86565126830465</c:v>
                </c:pt>
                <c:pt idx="127">
                  <c:v>186.77371391824423</c:v>
                </c:pt>
                <c:pt idx="128">
                  <c:v>7.2750222830841693</c:v>
                </c:pt>
                <c:pt idx="129">
                  <c:v>10.144992022824315</c:v>
                </c:pt>
                <c:pt idx="130">
                  <c:v>205.26197606402235</c:v>
                </c:pt>
                <c:pt idx="131">
                  <c:v>207.78857297117077</c:v>
                </c:pt>
                <c:pt idx="132">
                  <c:v>51.636878296051449</c:v>
                </c:pt>
                <c:pt idx="133">
                  <c:v>157.12151408642518</c:v>
                </c:pt>
                <c:pt idx="134">
                  <c:v>161.44120736651524</c:v>
                </c:pt>
                <c:pt idx="135">
                  <c:v>202.42950894531884</c:v>
                </c:pt>
                <c:pt idx="136">
                  <c:v>44.505545515779176</c:v>
                </c:pt>
                <c:pt idx="137">
                  <c:v>264.53935160576469</c:v>
                </c:pt>
                <c:pt idx="138">
                  <c:v>134.72374292686888</c:v>
                </c:pt>
                <c:pt idx="139">
                  <c:v>5.3413401144254014</c:v>
                </c:pt>
                <c:pt idx="140">
                  <c:v>27.337904129578394</c:v>
                </c:pt>
                <c:pt idx="141">
                  <c:v>20.319206453698566</c:v>
                </c:pt>
                <c:pt idx="142">
                  <c:v>25.010620701694869</c:v>
                </c:pt>
                <c:pt idx="143">
                  <c:v>308.06261991850027</c:v>
                </c:pt>
                <c:pt idx="144">
                  <c:v>42.76798095353864</c:v>
                </c:pt>
                <c:pt idx="145">
                  <c:v>454.10568127322153</c:v>
                </c:pt>
                <c:pt idx="146">
                  <c:v>121.96873765226952</c:v>
                </c:pt>
                <c:pt idx="147">
                  <c:v>169.63007781369538</c:v>
                </c:pt>
                <c:pt idx="148">
                  <c:v>69.906982156419446</c:v>
                </c:pt>
                <c:pt idx="149">
                  <c:v>582.53819347374747</c:v>
                </c:pt>
                <c:pt idx="150">
                  <c:v>56.484777971329365</c:v>
                </c:pt>
                <c:pt idx="151">
                  <c:v>13.535315792938897</c:v>
                </c:pt>
                <c:pt idx="152">
                  <c:v>35.598587118306483</c:v>
                </c:pt>
                <c:pt idx="153">
                  <c:v>8.1165958872212336</c:v>
                </c:pt>
                <c:pt idx="154">
                  <c:v>284.17822747951681</c:v>
                </c:pt>
                <c:pt idx="155">
                  <c:v>113.70938740698564</c:v>
                </c:pt>
                <c:pt idx="156">
                  <c:v>53.803754087323277</c:v>
                </c:pt>
                <c:pt idx="157">
                  <c:v>36.481467640770603</c:v>
                </c:pt>
                <c:pt idx="158">
                  <c:v>70.410082229632948</c:v>
                </c:pt>
                <c:pt idx="159">
                  <c:v>40.899862131374704</c:v>
                </c:pt>
                <c:pt idx="160">
                  <c:v>99.045977389158082</c:v>
                </c:pt>
                <c:pt idx="161">
                  <c:v>183.85203199017417</c:v>
                </c:pt>
                <c:pt idx="162">
                  <c:v>23.88898228370731</c:v>
                </c:pt>
                <c:pt idx="163">
                  <c:v>184.4844856425004</c:v>
                </c:pt>
                <c:pt idx="164">
                  <c:v>11.578491564705873</c:v>
                </c:pt>
                <c:pt idx="165">
                  <c:v>133.39572241283111</c:v>
                </c:pt>
                <c:pt idx="166">
                  <c:v>24.377036193357036</c:v>
                </c:pt>
                <c:pt idx="167">
                  <c:v>44.392065964391762</c:v>
                </c:pt>
                <c:pt idx="168">
                  <c:v>171.32723577288061</c:v>
                </c:pt>
                <c:pt idx="169">
                  <c:v>13.064641860761991</c:v>
                </c:pt>
                <c:pt idx="170">
                  <c:v>93.839514435589166</c:v>
                </c:pt>
                <c:pt idx="171">
                  <c:v>31.642901830388823</c:v>
                </c:pt>
                <c:pt idx="172">
                  <c:v>128.38618900656519</c:v>
                </c:pt>
                <c:pt idx="173">
                  <c:v>224.45508351192012</c:v>
                </c:pt>
                <c:pt idx="174">
                  <c:v>142.69661316162791</c:v>
                </c:pt>
                <c:pt idx="175">
                  <c:v>90.037895254388488</c:v>
                </c:pt>
                <c:pt idx="176">
                  <c:v>87.535155694742855</c:v>
                </c:pt>
                <c:pt idx="177">
                  <c:v>155.45895957075049</c:v>
                </c:pt>
                <c:pt idx="178">
                  <c:v>40.219334797700903</c:v>
                </c:pt>
                <c:pt idx="179">
                  <c:v>171.08724195391272</c:v>
                </c:pt>
                <c:pt idx="180">
                  <c:v>106.22916914875702</c:v>
                </c:pt>
                <c:pt idx="181">
                  <c:v>252.01314921114215</c:v>
                </c:pt>
                <c:pt idx="182">
                  <c:v>73.763214312048675</c:v>
                </c:pt>
                <c:pt idx="183">
                  <c:v>43.645763353560369</c:v>
                </c:pt>
                <c:pt idx="184">
                  <c:v>43.095295740554135</c:v>
                </c:pt>
                <c:pt idx="185">
                  <c:v>110.60294599130719</c:v>
                </c:pt>
                <c:pt idx="186">
                  <c:v>291.63267357444147</c:v>
                </c:pt>
                <c:pt idx="187">
                  <c:v>73.757193997513312</c:v>
                </c:pt>
                <c:pt idx="188">
                  <c:v>129.49543766051028</c:v>
                </c:pt>
                <c:pt idx="189">
                  <c:v>350.59348142890508</c:v>
                </c:pt>
                <c:pt idx="190">
                  <c:v>769.17504508781462</c:v>
                </c:pt>
                <c:pt idx="191">
                  <c:v>225.3085592892445</c:v>
                </c:pt>
                <c:pt idx="192">
                  <c:v>165.62871772141588</c:v>
                </c:pt>
                <c:pt idx="193">
                  <c:v>245.72279590109062</c:v>
                </c:pt>
                <c:pt idx="194">
                  <c:v>26.580541012608258</c:v>
                </c:pt>
                <c:pt idx="195">
                  <c:v>45.30415347864971</c:v>
                </c:pt>
                <c:pt idx="196">
                  <c:v>118.90960979686301</c:v>
                </c:pt>
                <c:pt idx="197">
                  <c:v>38.047079335891851</c:v>
                </c:pt>
                <c:pt idx="198">
                  <c:v>57.41258737801477</c:v>
                </c:pt>
                <c:pt idx="199">
                  <c:v>135.16448806416983</c:v>
                </c:pt>
                <c:pt idx="200">
                  <c:v>131.46818995480405</c:v>
                </c:pt>
                <c:pt idx="201">
                  <c:v>81.94562110668889</c:v>
                </c:pt>
                <c:pt idx="202">
                  <c:v>97.826784245544786</c:v>
                </c:pt>
                <c:pt idx="203">
                  <c:v>126.26956816069904</c:v>
                </c:pt>
                <c:pt idx="204">
                  <c:v>44.81960982575724</c:v>
                </c:pt>
                <c:pt idx="205">
                  <c:v>16.080562640431431</c:v>
                </c:pt>
                <c:pt idx="206">
                  <c:v>28.788980400813912</c:v>
                </c:pt>
                <c:pt idx="207">
                  <c:v>28.195292476600091</c:v>
                </c:pt>
                <c:pt idx="208">
                  <c:v>69.369120342528191</c:v>
                </c:pt>
                <c:pt idx="209">
                  <c:v>37.123518023025539</c:v>
                </c:pt>
                <c:pt idx="210">
                  <c:v>115.67987504056327</c:v>
                </c:pt>
                <c:pt idx="211">
                  <c:v>35.004583005200047</c:v>
                </c:pt>
                <c:pt idx="212">
                  <c:v>342.74453091537282</c:v>
                </c:pt>
                <c:pt idx="213">
                  <c:v>15.508144055761475</c:v>
                </c:pt>
                <c:pt idx="214">
                  <c:v>29.531161856503818</c:v>
                </c:pt>
                <c:pt idx="215">
                  <c:v>444.18054735011884</c:v>
                </c:pt>
                <c:pt idx="216">
                  <c:v>59.536382182393993</c:v>
                </c:pt>
                <c:pt idx="217">
                  <c:v>47.737547272049625</c:v>
                </c:pt>
                <c:pt idx="218">
                  <c:v>23.299697097393441</c:v>
                </c:pt>
                <c:pt idx="219">
                  <c:v>170.92691301962375</c:v>
                </c:pt>
                <c:pt idx="220">
                  <c:v>8.6839125771100942</c:v>
                </c:pt>
                <c:pt idx="221">
                  <c:v>26.399172109447807</c:v>
                </c:pt>
                <c:pt idx="222">
                  <c:v>37.034594603104232</c:v>
                </c:pt>
                <c:pt idx="223">
                  <c:v>53.092260267009337</c:v>
                </c:pt>
                <c:pt idx="224">
                  <c:v>83.534912232571486</c:v>
                </c:pt>
                <c:pt idx="225">
                  <c:v>18.398087484289249</c:v>
                </c:pt>
                <c:pt idx="226">
                  <c:v>144.75246078599798</c:v>
                </c:pt>
                <c:pt idx="227">
                  <c:v>118.45016727615257</c:v>
                </c:pt>
                <c:pt idx="228">
                  <c:v>193.9355950588162</c:v>
                </c:pt>
                <c:pt idx="229">
                  <c:v>304.43177048197674</c:v>
                </c:pt>
                <c:pt idx="230">
                  <c:v>7.1012002151719278</c:v>
                </c:pt>
                <c:pt idx="231">
                  <c:v>11.369374749479281</c:v>
                </c:pt>
                <c:pt idx="232">
                  <c:v>118.08765728526878</c:v>
                </c:pt>
                <c:pt idx="233">
                  <c:v>40.189256862037325</c:v>
                </c:pt>
                <c:pt idx="234">
                  <c:v>46.841383819137533</c:v>
                </c:pt>
                <c:pt idx="235">
                  <c:v>30.451948921058445</c:v>
                </c:pt>
                <c:pt idx="236">
                  <c:v>43.464237335871985</c:v>
                </c:pt>
                <c:pt idx="237">
                  <c:v>39.142441190209311</c:v>
                </c:pt>
                <c:pt idx="238">
                  <c:v>20.734265595828852</c:v>
                </c:pt>
                <c:pt idx="239">
                  <c:v>210.47876177571914</c:v>
                </c:pt>
                <c:pt idx="240">
                  <c:v>1.883497107730592</c:v>
                </c:pt>
                <c:pt idx="241">
                  <c:v>9.2037447751169115</c:v>
                </c:pt>
                <c:pt idx="242">
                  <c:v>24.066087648355413</c:v>
                </c:pt>
                <c:pt idx="243">
                  <c:v>133.69193534647226</c:v>
                </c:pt>
                <c:pt idx="244">
                  <c:v>114.35169383521625</c:v>
                </c:pt>
                <c:pt idx="245">
                  <c:v>223.21142602723802</c:v>
                </c:pt>
                <c:pt idx="246">
                  <c:v>215.44651148567459</c:v>
                </c:pt>
                <c:pt idx="247">
                  <c:v>207.87803466638113</c:v>
                </c:pt>
                <c:pt idx="248">
                  <c:v>22.233098497470532</c:v>
                </c:pt>
                <c:pt idx="249">
                  <c:v>9.0461637582832761</c:v>
                </c:pt>
                <c:pt idx="250">
                  <c:v>127.32387431418063</c:v>
                </c:pt>
                <c:pt idx="251">
                  <c:v>656.41769516558827</c:v>
                </c:pt>
                <c:pt idx="252">
                  <c:v>141.92067574530108</c:v>
                </c:pt>
                <c:pt idx="253">
                  <c:v>93.397088669048031</c:v>
                </c:pt>
                <c:pt idx="254">
                  <c:v>69.20099034835259</c:v>
                </c:pt>
                <c:pt idx="255">
                  <c:v>249.59682557196234</c:v>
                </c:pt>
                <c:pt idx="256">
                  <c:v>78.919413064617217</c:v>
                </c:pt>
                <c:pt idx="257">
                  <c:v>29.434231172172765</c:v>
                </c:pt>
                <c:pt idx="258">
                  <c:v>343.39343676691453</c:v>
                </c:pt>
                <c:pt idx="259">
                  <c:v>295.09901395626667</c:v>
                </c:pt>
                <c:pt idx="260">
                  <c:v>219.18195386234333</c:v>
                </c:pt>
                <c:pt idx="261">
                  <c:v>153.10133321498407</c:v>
                </c:pt>
                <c:pt idx="262">
                  <c:v>35.389566982286581</c:v>
                </c:pt>
                <c:pt idx="263">
                  <c:v>99.54852863743163</c:v>
                </c:pt>
                <c:pt idx="264">
                  <c:v>49.672657443787863</c:v>
                </c:pt>
                <c:pt idx="265">
                  <c:v>5.9227079652396526</c:v>
                </c:pt>
                <c:pt idx="266">
                  <c:v>86.252320728931238</c:v>
                </c:pt>
                <c:pt idx="267">
                  <c:v>330.48464769951511</c:v>
                </c:pt>
                <c:pt idx="268">
                  <c:v>305.15039245057767</c:v>
                </c:pt>
                <c:pt idx="269">
                  <c:v>265.8655878492267</c:v>
                </c:pt>
                <c:pt idx="270">
                  <c:v>120.39515998440427</c:v>
                </c:pt>
                <c:pt idx="271">
                  <c:v>292.50081109236953</c:v>
                </c:pt>
                <c:pt idx="272">
                  <c:v>53.193208218025262</c:v>
                </c:pt>
                <c:pt idx="273">
                  <c:v>30.622609051352608</c:v>
                </c:pt>
                <c:pt idx="274">
                  <c:v>4.1215352073926228</c:v>
                </c:pt>
                <c:pt idx="275">
                  <c:v>211.34719898522317</c:v>
                </c:pt>
                <c:pt idx="276">
                  <c:v>97.25232912625026</c:v>
                </c:pt>
                <c:pt idx="277">
                  <c:v>120.46124712355386</c:v>
                </c:pt>
                <c:pt idx="278">
                  <c:v>285.56888390863821</c:v>
                </c:pt>
                <c:pt idx="279">
                  <c:v>35.34412206486904</c:v>
                </c:pt>
                <c:pt idx="280">
                  <c:v>23.670191417058376</c:v>
                </c:pt>
                <c:pt idx="281">
                  <c:v>325.06489414605676</c:v>
                </c:pt>
                <c:pt idx="282">
                  <c:v>104.33493722057611</c:v>
                </c:pt>
                <c:pt idx="283">
                  <c:v>5.2011855908144362</c:v>
                </c:pt>
                <c:pt idx="284">
                  <c:v>239.63304258831505</c:v>
                </c:pt>
                <c:pt idx="285">
                  <c:v>6.3132826610906623</c:v>
                </c:pt>
                <c:pt idx="286">
                  <c:v>38.626573597836554</c:v>
                </c:pt>
                <c:pt idx="287">
                  <c:v>11.298585272675956</c:v>
                </c:pt>
                <c:pt idx="288">
                  <c:v>190.95089813914649</c:v>
                </c:pt>
                <c:pt idx="289">
                  <c:v>61.329906471510263</c:v>
                </c:pt>
                <c:pt idx="290">
                  <c:v>32.532680875359233</c:v>
                </c:pt>
                <c:pt idx="291">
                  <c:v>76.715949247469283</c:v>
                </c:pt>
                <c:pt idx="292">
                  <c:v>46.035646371789895</c:v>
                </c:pt>
                <c:pt idx="293">
                  <c:v>48.347532994487743</c:v>
                </c:pt>
                <c:pt idx="294">
                  <c:v>13.865456795526175</c:v>
                </c:pt>
                <c:pt idx="295">
                  <c:v>58.457662442348422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8F-6943-B99E-F5CC391B9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184511"/>
        <c:axId val="307338687"/>
      </c:scatterChart>
      <c:valAx>
        <c:axId val="30718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7338687"/>
        <c:crosses val="autoZero"/>
        <c:crossBetween val="midCat"/>
      </c:valAx>
      <c:valAx>
        <c:axId val="3073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718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Лист1!$C$126:$C$140</c:f>
              <c:strCache>
                <c:ptCount val="15"/>
                <c:pt idx="0">
                  <c:v>k = 1</c:v>
                </c:pt>
                <c:pt idx="1">
                  <c:v>k = 2</c:v>
                </c:pt>
                <c:pt idx="2">
                  <c:v>k = 3</c:v>
                </c:pt>
                <c:pt idx="3">
                  <c:v>k = 4</c:v>
                </c:pt>
                <c:pt idx="4">
                  <c:v>k = 5</c:v>
                </c:pt>
                <c:pt idx="5">
                  <c:v>k = 6</c:v>
                </c:pt>
                <c:pt idx="6">
                  <c:v>k = 7</c:v>
                </c:pt>
                <c:pt idx="7">
                  <c:v>k = 8</c:v>
                </c:pt>
                <c:pt idx="8">
                  <c:v>k = 9</c:v>
                </c:pt>
                <c:pt idx="9">
                  <c:v>k = 10</c:v>
                </c:pt>
                <c:pt idx="10">
                  <c:v>k = 11</c:v>
                </c:pt>
                <c:pt idx="11">
                  <c:v>k = 12</c:v>
                </c:pt>
                <c:pt idx="12">
                  <c:v>k = 13</c:v>
                </c:pt>
                <c:pt idx="13">
                  <c:v>k = 14</c:v>
                </c:pt>
                <c:pt idx="14">
                  <c:v>k = 15</c:v>
                </c:pt>
              </c:strCache>
            </c:strRef>
          </c:xVal>
          <c:yVal>
            <c:numRef>
              <c:f>Лист1!$D$126:$D$140</c:f>
              <c:numCache>
                <c:formatCode>General</c:formatCode>
                <c:ptCount val="15"/>
                <c:pt idx="0">
                  <c:v>4.9547652154041402E-2</c:v>
                </c:pt>
                <c:pt idx="1">
                  <c:v>7.2271275762273768E-2</c:v>
                </c:pt>
                <c:pt idx="2">
                  <c:v>7.7370704147236388E-2</c:v>
                </c:pt>
                <c:pt idx="3">
                  <c:v>4.0334078113071881E-2</c:v>
                </c:pt>
                <c:pt idx="4">
                  <c:v>-3.3666611226996088E-2</c:v>
                </c:pt>
                <c:pt idx="5">
                  <c:v>-2.5852526101782666E-2</c:v>
                </c:pt>
                <c:pt idx="6">
                  <c:v>4.8339630111033871E-2</c:v>
                </c:pt>
                <c:pt idx="7">
                  <c:v>-7.831502651547733E-3</c:v>
                </c:pt>
                <c:pt idx="8">
                  <c:v>5.8799324717819249E-2</c:v>
                </c:pt>
                <c:pt idx="9">
                  <c:v>-1.4251608100099003E-2</c:v>
                </c:pt>
                <c:pt idx="10">
                  <c:v>9.2625957013818289E-2</c:v>
                </c:pt>
                <c:pt idx="11">
                  <c:v>8.5342988825641737E-3</c:v>
                </c:pt>
                <c:pt idx="12">
                  <c:v>1.29319026784633E-2</c:v>
                </c:pt>
                <c:pt idx="13">
                  <c:v>-4.1489547904425432E-2</c:v>
                </c:pt>
                <c:pt idx="14">
                  <c:v>-7.1521641803014735E-2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1-A74F-99FF-797A7E36F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687423"/>
        <c:axId val="625683391"/>
      </c:scatterChart>
      <c:valAx>
        <c:axId val="62568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5683391"/>
        <c:crosses val="autoZero"/>
        <c:crossBetween val="midCat"/>
      </c:valAx>
      <c:valAx>
        <c:axId val="62568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568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Лист1!$C$182:$C$196</c:f>
              <c:strCache>
                <c:ptCount val="15"/>
                <c:pt idx="0">
                  <c:v>k = 1</c:v>
                </c:pt>
                <c:pt idx="1">
                  <c:v>k = 2</c:v>
                </c:pt>
                <c:pt idx="2">
                  <c:v>k = 3</c:v>
                </c:pt>
                <c:pt idx="3">
                  <c:v>k = 4</c:v>
                </c:pt>
                <c:pt idx="4">
                  <c:v>k = 5</c:v>
                </c:pt>
                <c:pt idx="5">
                  <c:v>k = 6</c:v>
                </c:pt>
                <c:pt idx="6">
                  <c:v>k = 7</c:v>
                </c:pt>
                <c:pt idx="7">
                  <c:v>k = 8</c:v>
                </c:pt>
                <c:pt idx="8">
                  <c:v>k = 9</c:v>
                </c:pt>
                <c:pt idx="9">
                  <c:v>k = 10</c:v>
                </c:pt>
                <c:pt idx="10">
                  <c:v>k = 11</c:v>
                </c:pt>
                <c:pt idx="11">
                  <c:v>k = 12</c:v>
                </c:pt>
                <c:pt idx="12">
                  <c:v>k = 13</c:v>
                </c:pt>
                <c:pt idx="13">
                  <c:v>k = 14</c:v>
                </c:pt>
                <c:pt idx="14">
                  <c:v>k = 15</c:v>
                </c:pt>
              </c:strCache>
            </c:strRef>
          </c:xVal>
          <c:yVal>
            <c:numRef>
              <c:f>Лист1!$D$182:$D$196</c:f>
              <c:numCache>
                <c:formatCode>General</c:formatCode>
                <c:ptCount val="15"/>
                <c:pt idx="0">
                  <c:v>-3.7329173747132835E-2</c:v>
                </c:pt>
                <c:pt idx="1">
                  <c:v>-4.1267536369905856E-2</c:v>
                </c:pt>
                <c:pt idx="2">
                  <c:v>3.3983548844692374E-2</c:v>
                </c:pt>
                <c:pt idx="3">
                  <c:v>2.3825719422926696E-2</c:v>
                </c:pt>
                <c:pt idx="4">
                  <c:v>4.0031876916833811E-2</c:v>
                </c:pt>
                <c:pt idx="5">
                  <c:v>-0.12672982042189068</c:v>
                </c:pt>
                <c:pt idx="6">
                  <c:v>1.3347863878834507E-2</c:v>
                </c:pt>
                <c:pt idx="7">
                  <c:v>-4.7889982903368634E-2</c:v>
                </c:pt>
                <c:pt idx="8">
                  <c:v>9.3872518007754781E-3</c:v>
                </c:pt>
                <c:pt idx="9">
                  <c:v>0.1852116604011651</c:v>
                </c:pt>
                <c:pt idx="10">
                  <c:v>-7.1267643687878232E-2</c:v>
                </c:pt>
                <c:pt idx="11">
                  <c:v>2.5971950584130325E-2</c:v>
                </c:pt>
                <c:pt idx="12">
                  <c:v>-5.7419747651984453E-2</c:v>
                </c:pt>
                <c:pt idx="13">
                  <c:v>-1.4518170408684217E-2</c:v>
                </c:pt>
                <c:pt idx="14">
                  <c:v>7.3596256502809414E-4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DF-EA41-8518-3A9272768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507071"/>
        <c:axId val="815508415"/>
      </c:scatterChart>
      <c:valAx>
        <c:axId val="81550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5508415"/>
        <c:crosses val="autoZero"/>
        <c:crossBetween val="midCat"/>
      </c:valAx>
      <c:valAx>
        <c:axId val="81550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550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значений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Лист1!$N$2:$N$301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Лист1!$O$2:$O$301</c:f>
              <c:numCache>
                <c:formatCode>0.000</c:formatCode>
                <c:ptCount val="300"/>
                <c:pt idx="0">
                  <c:v>137.4740292838388</c:v>
                </c:pt>
                <c:pt idx="1">
                  <c:v>132.24143628959155</c:v>
                </c:pt>
                <c:pt idx="2">
                  <c:v>33.80108216252723</c:v>
                </c:pt>
                <c:pt idx="3">
                  <c:v>293.98475984689134</c:v>
                </c:pt>
                <c:pt idx="4">
                  <c:v>51.326151059657448</c:v>
                </c:pt>
                <c:pt idx="5">
                  <c:v>24.183152991327525</c:v>
                </c:pt>
                <c:pt idx="6">
                  <c:v>10.683053805638794</c:v>
                </c:pt>
                <c:pt idx="7">
                  <c:v>36.01781894174718</c:v>
                </c:pt>
                <c:pt idx="8">
                  <c:v>40.42597327587692</c:v>
                </c:pt>
                <c:pt idx="9">
                  <c:v>77.790716939397342</c:v>
                </c:pt>
                <c:pt idx="10">
                  <c:v>135.49374549881296</c:v>
                </c:pt>
                <c:pt idx="11">
                  <c:v>6.4003923294621679</c:v>
                </c:pt>
                <c:pt idx="12">
                  <c:v>74.126156539397641</c:v>
                </c:pt>
                <c:pt idx="13">
                  <c:v>27.731342367451433</c:v>
                </c:pt>
                <c:pt idx="14">
                  <c:v>121.80252559702726</c:v>
                </c:pt>
                <c:pt idx="15">
                  <c:v>114.83037627393378</c:v>
                </c:pt>
                <c:pt idx="16">
                  <c:v>223.11856007615171</c:v>
                </c:pt>
                <c:pt idx="17">
                  <c:v>120.04746548860702</c:v>
                </c:pt>
                <c:pt idx="18">
                  <c:v>210.23301897494684</c:v>
                </c:pt>
                <c:pt idx="19">
                  <c:v>51.325932805972798</c:v>
                </c:pt>
                <c:pt idx="20">
                  <c:v>32.233352360846325</c:v>
                </c:pt>
                <c:pt idx="21">
                  <c:v>199.47854130457375</c:v>
                </c:pt>
                <c:pt idx="22">
                  <c:v>228.15889709876248</c:v>
                </c:pt>
                <c:pt idx="23">
                  <c:v>332.8365047305067</c:v>
                </c:pt>
                <c:pt idx="24">
                  <c:v>298.39815278538231</c:v>
                </c:pt>
                <c:pt idx="25">
                  <c:v>294.74241928560895</c:v>
                </c:pt>
                <c:pt idx="26">
                  <c:v>140.40012957475173</c:v>
                </c:pt>
                <c:pt idx="27">
                  <c:v>283.82086389149845</c:v>
                </c:pt>
                <c:pt idx="28">
                  <c:v>145.55052656247778</c:v>
                </c:pt>
                <c:pt idx="29">
                  <c:v>120.06199421515824</c:v>
                </c:pt>
                <c:pt idx="30">
                  <c:v>13.955383317094334</c:v>
                </c:pt>
                <c:pt idx="31">
                  <c:v>73.77463676588404</c:v>
                </c:pt>
                <c:pt idx="32">
                  <c:v>236.72218414514444</c:v>
                </c:pt>
                <c:pt idx="33">
                  <c:v>185.47483409137726</c:v>
                </c:pt>
                <c:pt idx="34">
                  <c:v>12.806993178656727</c:v>
                </c:pt>
                <c:pt idx="35">
                  <c:v>72.69776836450734</c:v>
                </c:pt>
                <c:pt idx="36">
                  <c:v>83.595730990234372</c:v>
                </c:pt>
                <c:pt idx="37">
                  <c:v>21.099405842331485</c:v>
                </c:pt>
                <c:pt idx="38">
                  <c:v>65.708805017700399</c:v>
                </c:pt>
                <c:pt idx="39">
                  <c:v>104.09909035438559</c:v>
                </c:pt>
                <c:pt idx="40">
                  <c:v>66.382307018718066</c:v>
                </c:pt>
                <c:pt idx="41">
                  <c:v>11.083082367359944</c:v>
                </c:pt>
                <c:pt idx="42">
                  <c:v>355.48157518701856</c:v>
                </c:pt>
                <c:pt idx="43">
                  <c:v>0.14584900490195477</c:v>
                </c:pt>
                <c:pt idx="44">
                  <c:v>97.513958661694176</c:v>
                </c:pt>
                <c:pt idx="45">
                  <c:v>21.15128116687827</c:v>
                </c:pt>
                <c:pt idx="46">
                  <c:v>143.71783948575757</c:v>
                </c:pt>
                <c:pt idx="47">
                  <c:v>41.060490809921276</c:v>
                </c:pt>
                <c:pt idx="48">
                  <c:v>135.65818781794923</c:v>
                </c:pt>
                <c:pt idx="49">
                  <c:v>13.871631347063044</c:v>
                </c:pt>
                <c:pt idx="50">
                  <c:v>37.048663114304631</c:v>
                </c:pt>
                <c:pt idx="51">
                  <c:v>135.06522010285985</c:v>
                </c:pt>
                <c:pt idx="52">
                  <c:v>153.97921341053964</c:v>
                </c:pt>
                <c:pt idx="53">
                  <c:v>290.08670842724166</c:v>
                </c:pt>
                <c:pt idx="54">
                  <c:v>52.282449912907765</c:v>
                </c:pt>
                <c:pt idx="55">
                  <c:v>64.039922604567948</c:v>
                </c:pt>
                <c:pt idx="56">
                  <c:v>63.850946545342296</c:v>
                </c:pt>
                <c:pt idx="57">
                  <c:v>133.92007784537458</c:v>
                </c:pt>
                <c:pt idx="58">
                  <c:v>103.56214210024875</c:v>
                </c:pt>
                <c:pt idx="59">
                  <c:v>47.71871844680112</c:v>
                </c:pt>
                <c:pt idx="60">
                  <c:v>117.28273089107789</c:v>
                </c:pt>
                <c:pt idx="61">
                  <c:v>16.608238877616607</c:v>
                </c:pt>
                <c:pt idx="62">
                  <c:v>57.477375125537776</c:v>
                </c:pt>
                <c:pt idx="63">
                  <c:v>29.867589320966673</c:v>
                </c:pt>
                <c:pt idx="64">
                  <c:v>192.8171960894359</c:v>
                </c:pt>
                <c:pt idx="65">
                  <c:v>101.08042279552095</c:v>
                </c:pt>
                <c:pt idx="66">
                  <c:v>34.947104110694625</c:v>
                </c:pt>
                <c:pt idx="67">
                  <c:v>58.338269720887524</c:v>
                </c:pt>
                <c:pt idx="68">
                  <c:v>13.487805369210943</c:v>
                </c:pt>
                <c:pt idx="69">
                  <c:v>3.984522505038135</c:v>
                </c:pt>
                <c:pt idx="70">
                  <c:v>32.143517832682832</c:v>
                </c:pt>
                <c:pt idx="71">
                  <c:v>440.43308464903168</c:v>
                </c:pt>
                <c:pt idx="72">
                  <c:v>4.4053371720880419</c:v>
                </c:pt>
                <c:pt idx="73">
                  <c:v>479.72778395515229</c:v>
                </c:pt>
                <c:pt idx="74">
                  <c:v>26.537620109599104</c:v>
                </c:pt>
                <c:pt idx="75">
                  <c:v>108.29099899507295</c:v>
                </c:pt>
                <c:pt idx="76">
                  <c:v>41.805694535796007</c:v>
                </c:pt>
                <c:pt idx="77">
                  <c:v>20.187252221502867</c:v>
                </c:pt>
                <c:pt idx="78">
                  <c:v>70.894691482758049</c:v>
                </c:pt>
                <c:pt idx="79">
                  <c:v>48.035388096709156</c:v>
                </c:pt>
                <c:pt idx="80">
                  <c:v>273.348240695821</c:v>
                </c:pt>
                <c:pt idx="81">
                  <c:v>206.96623707182874</c:v>
                </c:pt>
                <c:pt idx="82">
                  <c:v>145.52540758693672</c:v>
                </c:pt>
                <c:pt idx="83">
                  <c:v>6.7535028140533315</c:v>
                </c:pt>
                <c:pt idx="84">
                  <c:v>887.03667265792683</c:v>
                </c:pt>
                <c:pt idx="85">
                  <c:v>106.43023601456667</c:v>
                </c:pt>
                <c:pt idx="86">
                  <c:v>27.323703540923105</c:v>
                </c:pt>
                <c:pt idx="87">
                  <c:v>281.81907283169147</c:v>
                </c:pt>
                <c:pt idx="88">
                  <c:v>20.662492106188036</c:v>
                </c:pt>
                <c:pt idx="89">
                  <c:v>131.95690619816668</c:v>
                </c:pt>
                <c:pt idx="90">
                  <c:v>195.96238752893316</c:v>
                </c:pt>
                <c:pt idx="91">
                  <c:v>75.680076313249927</c:v>
                </c:pt>
                <c:pt idx="92">
                  <c:v>229.0606664787428</c:v>
                </c:pt>
                <c:pt idx="93">
                  <c:v>130.06575845661058</c:v>
                </c:pt>
                <c:pt idx="94">
                  <c:v>129.03673043070847</c:v>
                </c:pt>
                <c:pt idx="95">
                  <c:v>433.77127678317828</c:v>
                </c:pt>
                <c:pt idx="96">
                  <c:v>220.5553667373203</c:v>
                </c:pt>
                <c:pt idx="97">
                  <c:v>214.19503008776275</c:v>
                </c:pt>
                <c:pt idx="98">
                  <c:v>90.509238842225287</c:v>
                </c:pt>
                <c:pt idx="99">
                  <c:v>155.98516171684633</c:v>
                </c:pt>
                <c:pt idx="100">
                  <c:v>36.849892720416953</c:v>
                </c:pt>
                <c:pt idx="101">
                  <c:v>326.32997493380168</c:v>
                </c:pt>
                <c:pt idx="102">
                  <c:v>654.62713712076084</c:v>
                </c:pt>
                <c:pt idx="103">
                  <c:v>115.4648198547265</c:v>
                </c:pt>
                <c:pt idx="104">
                  <c:v>243.65470085618085</c:v>
                </c:pt>
                <c:pt idx="105">
                  <c:v>215.15059280494739</c:v>
                </c:pt>
                <c:pt idx="106">
                  <c:v>82.971481830108885</c:v>
                </c:pt>
                <c:pt idx="107">
                  <c:v>325.033849707039</c:v>
                </c:pt>
                <c:pt idx="108">
                  <c:v>74.196269390149482</c:v>
                </c:pt>
                <c:pt idx="109">
                  <c:v>88.394220714139919</c:v>
                </c:pt>
                <c:pt idx="110">
                  <c:v>76.927029209636316</c:v>
                </c:pt>
                <c:pt idx="111">
                  <c:v>141.62302707842622</c:v>
                </c:pt>
                <c:pt idx="112">
                  <c:v>12.698507966118147</c:v>
                </c:pt>
                <c:pt idx="113">
                  <c:v>29.290265299527341</c:v>
                </c:pt>
                <c:pt idx="114">
                  <c:v>98.749475727860286</c:v>
                </c:pt>
                <c:pt idx="115">
                  <c:v>7.7667367024418965</c:v>
                </c:pt>
                <c:pt idx="116">
                  <c:v>206.57309963356838</c:v>
                </c:pt>
                <c:pt idx="117">
                  <c:v>148.36872802554123</c:v>
                </c:pt>
                <c:pt idx="118">
                  <c:v>7.8098919662992463</c:v>
                </c:pt>
                <c:pt idx="119">
                  <c:v>138.68381167808099</c:v>
                </c:pt>
                <c:pt idx="120">
                  <c:v>141.20872568592765</c:v>
                </c:pt>
                <c:pt idx="121">
                  <c:v>5.1879554362129179</c:v>
                </c:pt>
                <c:pt idx="122">
                  <c:v>21.277540911922657</c:v>
                </c:pt>
                <c:pt idx="123">
                  <c:v>11.710939114343567</c:v>
                </c:pt>
                <c:pt idx="124">
                  <c:v>306.16173042080726</c:v>
                </c:pt>
                <c:pt idx="125">
                  <c:v>71.498376447658714</c:v>
                </c:pt>
                <c:pt idx="126">
                  <c:v>166.36857418562474</c:v>
                </c:pt>
                <c:pt idx="127">
                  <c:v>518.71187977849343</c:v>
                </c:pt>
                <c:pt idx="128">
                  <c:v>108.53519487571036</c:v>
                </c:pt>
                <c:pt idx="129">
                  <c:v>315.9805303283469</c:v>
                </c:pt>
                <c:pt idx="130">
                  <c:v>115.86565126830465</c:v>
                </c:pt>
                <c:pt idx="131">
                  <c:v>186.77371391824423</c:v>
                </c:pt>
                <c:pt idx="132">
                  <c:v>7.2750222830841693</c:v>
                </c:pt>
                <c:pt idx="133">
                  <c:v>10.144992022824315</c:v>
                </c:pt>
                <c:pt idx="134">
                  <c:v>205.26197606402235</c:v>
                </c:pt>
                <c:pt idx="135">
                  <c:v>207.78857297117077</c:v>
                </c:pt>
                <c:pt idx="136">
                  <c:v>51.636878296051449</c:v>
                </c:pt>
                <c:pt idx="137">
                  <c:v>157.12151408642518</c:v>
                </c:pt>
                <c:pt idx="138">
                  <c:v>161.44120736651524</c:v>
                </c:pt>
                <c:pt idx="139">
                  <c:v>202.42950894531884</c:v>
                </c:pt>
                <c:pt idx="140">
                  <c:v>44.505545515779176</c:v>
                </c:pt>
                <c:pt idx="141">
                  <c:v>264.53935160576469</c:v>
                </c:pt>
                <c:pt idx="142">
                  <c:v>134.72374292686888</c:v>
                </c:pt>
                <c:pt idx="143">
                  <c:v>5.3413401144254014</c:v>
                </c:pt>
                <c:pt idx="144">
                  <c:v>27.337904129578394</c:v>
                </c:pt>
                <c:pt idx="145">
                  <c:v>20.319206453698566</c:v>
                </c:pt>
                <c:pt idx="146">
                  <c:v>25.010620701694869</c:v>
                </c:pt>
                <c:pt idx="147">
                  <c:v>308.06261991850027</c:v>
                </c:pt>
                <c:pt idx="148">
                  <c:v>42.76798095353864</c:v>
                </c:pt>
                <c:pt idx="149">
                  <c:v>454.10568127322153</c:v>
                </c:pt>
                <c:pt idx="150">
                  <c:v>121.96873765226952</c:v>
                </c:pt>
                <c:pt idx="151">
                  <c:v>169.63007781369538</c:v>
                </c:pt>
                <c:pt idx="152">
                  <c:v>69.906982156419446</c:v>
                </c:pt>
                <c:pt idx="153">
                  <c:v>582.53819347374747</c:v>
                </c:pt>
                <c:pt idx="154">
                  <c:v>56.484777971329365</c:v>
                </c:pt>
                <c:pt idx="155">
                  <c:v>13.535315792938897</c:v>
                </c:pt>
                <c:pt idx="156">
                  <c:v>35.598587118306483</c:v>
                </c:pt>
                <c:pt idx="157">
                  <c:v>8.1165958872212336</c:v>
                </c:pt>
                <c:pt idx="158">
                  <c:v>284.17822747951681</c:v>
                </c:pt>
                <c:pt idx="159">
                  <c:v>113.70938740698564</c:v>
                </c:pt>
                <c:pt idx="160">
                  <c:v>53.803754087323277</c:v>
                </c:pt>
                <c:pt idx="161">
                  <c:v>36.481467640770603</c:v>
                </c:pt>
                <c:pt idx="162">
                  <c:v>70.410082229632948</c:v>
                </c:pt>
                <c:pt idx="163">
                  <c:v>40.899862131374704</c:v>
                </c:pt>
                <c:pt idx="164">
                  <c:v>99.045977389158082</c:v>
                </c:pt>
                <c:pt idx="165">
                  <c:v>183.85203199017417</c:v>
                </c:pt>
                <c:pt idx="166">
                  <c:v>23.88898228370731</c:v>
                </c:pt>
                <c:pt idx="167">
                  <c:v>184.4844856425004</c:v>
                </c:pt>
                <c:pt idx="168">
                  <c:v>11.578491564705873</c:v>
                </c:pt>
                <c:pt idx="169">
                  <c:v>133.39572241283111</c:v>
                </c:pt>
                <c:pt idx="170">
                  <c:v>24.377036193357036</c:v>
                </c:pt>
                <c:pt idx="171">
                  <c:v>44.392065964391762</c:v>
                </c:pt>
                <c:pt idx="172">
                  <c:v>171.32723577288061</c:v>
                </c:pt>
                <c:pt idx="173">
                  <c:v>13.064641860761991</c:v>
                </c:pt>
                <c:pt idx="174">
                  <c:v>93.839514435589166</c:v>
                </c:pt>
                <c:pt idx="175">
                  <c:v>31.642901830388823</c:v>
                </c:pt>
                <c:pt idx="176">
                  <c:v>128.38618900656519</c:v>
                </c:pt>
                <c:pt idx="177">
                  <c:v>224.45508351192012</c:v>
                </c:pt>
                <c:pt idx="178">
                  <c:v>142.69661316162791</c:v>
                </c:pt>
                <c:pt idx="179">
                  <c:v>90.037895254388488</c:v>
                </c:pt>
                <c:pt idx="180">
                  <c:v>87.535155694742855</c:v>
                </c:pt>
                <c:pt idx="181">
                  <c:v>155.45895957075049</c:v>
                </c:pt>
                <c:pt idx="182">
                  <c:v>40.219334797700903</c:v>
                </c:pt>
                <c:pt idx="183">
                  <c:v>171.08724195391272</c:v>
                </c:pt>
                <c:pt idx="184">
                  <c:v>106.22916914875702</c:v>
                </c:pt>
                <c:pt idx="185">
                  <c:v>252.01314921114215</c:v>
                </c:pt>
                <c:pt idx="186">
                  <c:v>73.763214312048675</c:v>
                </c:pt>
                <c:pt idx="187">
                  <c:v>43.645763353560369</c:v>
                </c:pt>
                <c:pt idx="188">
                  <c:v>43.095295740554135</c:v>
                </c:pt>
                <c:pt idx="189">
                  <c:v>110.60294599130719</c:v>
                </c:pt>
                <c:pt idx="190">
                  <c:v>291.63267357444147</c:v>
                </c:pt>
                <c:pt idx="191">
                  <c:v>73.757193997513312</c:v>
                </c:pt>
                <c:pt idx="192">
                  <c:v>129.49543766051028</c:v>
                </c:pt>
                <c:pt idx="193">
                  <c:v>350.59348142890508</c:v>
                </c:pt>
                <c:pt idx="194">
                  <c:v>769.17504508781462</c:v>
                </c:pt>
                <c:pt idx="195">
                  <c:v>225.3085592892445</c:v>
                </c:pt>
                <c:pt idx="196">
                  <c:v>165.62871772141588</c:v>
                </c:pt>
                <c:pt idx="197">
                  <c:v>245.72279590109062</c:v>
                </c:pt>
                <c:pt idx="198">
                  <c:v>26.580541012608258</c:v>
                </c:pt>
                <c:pt idx="199">
                  <c:v>45.30415347864971</c:v>
                </c:pt>
                <c:pt idx="200">
                  <c:v>118.90960979686301</c:v>
                </c:pt>
                <c:pt idx="201">
                  <c:v>38.047079335891851</c:v>
                </c:pt>
                <c:pt idx="202">
                  <c:v>57.41258737801477</c:v>
                </c:pt>
                <c:pt idx="203">
                  <c:v>135.16448806416983</c:v>
                </c:pt>
                <c:pt idx="204">
                  <c:v>131.46818995480405</c:v>
                </c:pt>
                <c:pt idx="205">
                  <c:v>81.94562110668889</c:v>
                </c:pt>
                <c:pt idx="206">
                  <c:v>97.826784245544786</c:v>
                </c:pt>
                <c:pt idx="207">
                  <c:v>126.26956816069904</c:v>
                </c:pt>
                <c:pt idx="208">
                  <c:v>44.81960982575724</c:v>
                </c:pt>
                <c:pt idx="209">
                  <c:v>16.080562640431431</c:v>
                </c:pt>
                <c:pt idx="210">
                  <c:v>28.788980400813912</c:v>
                </c:pt>
                <c:pt idx="211">
                  <c:v>28.195292476600091</c:v>
                </c:pt>
                <c:pt idx="212">
                  <c:v>69.369120342528191</c:v>
                </c:pt>
                <c:pt idx="213">
                  <c:v>37.123518023025539</c:v>
                </c:pt>
                <c:pt idx="214">
                  <c:v>115.67987504056327</c:v>
                </c:pt>
                <c:pt idx="215">
                  <c:v>35.004583005200047</c:v>
                </c:pt>
                <c:pt idx="216">
                  <c:v>342.74453091537282</c:v>
                </c:pt>
                <c:pt idx="217">
                  <c:v>15.508144055761475</c:v>
                </c:pt>
                <c:pt idx="218">
                  <c:v>29.531161856503818</c:v>
                </c:pt>
                <c:pt idx="219">
                  <c:v>444.18054735011884</c:v>
                </c:pt>
                <c:pt idx="220">
                  <c:v>59.536382182393993</c:v>
                </c:pt>
                <c:pt idx="221">
                  <c:v>47.737547272049625</c:v>
                </c:pt>
                <c:pt idx="222">
                  <c:v>23.299697097393441</c:v>
                </c:pt>
                <c:pt idx="223">
                  <c:v>170.92691301962375</c:v>
                </c:pt>
                <c:pt idx="224">
                  <c:v>8.6839125771100942</c:v>
                </c:pt>
                <c:pt idx="225">
                  <c:v>26.399172109447807</c:v>
                </c:pt>
                <c:pt idx="226">
                  <c:v>37.034594603104232</c:v>
                </c:pt>
                <c:pt idx="227">
                  <c:v>53.092260267009337</c:v>
                </c:pt>
                <c:pt idx="228">
                  <c:v>83.534912232571486</c:v>
                </c:pt>
                <c:pt idx="229">
                  <c:v>18.398087484289249</c:v>
                </c:pt>
                <c:pt idx="230">
                  <c:v>144.75246078599798</c:v>
                </c:pt>
                <c:pt idx="231">
                  <c:v>118.45016727615257</c:v>
                </c:pt>
                <c:pt idx="232">
                  <c:v>193.9355950588162</c:v>
                </c:pt>
                <c:pt idx="233">
                  <c:v>304.43177048197674</c:v>
                </c:pt>
                <c:pt idx="234">
                  <c:v>7.1012002151719278</c:v>
                </c:pt>
                <c:pt idx="235">
                  <c:v>11.369374749479281</c:v>
                </c:pt>
                <c:pt idx="236">
                  <c:v>118.08765728526878</c:v>
                </c:pt>
                <c:pt idx="237">
                  <c:v>40.189256862037325</c:v>
                </c:pt>
                <c:pt idx="238">
                  <c:v>46.841383819137533</c:v>
                </c:pt>
                <c:pt idx="239">
                  <c:v>30.451948921058445</c:v>
                </c:pt>
                <c:pt idx="240">
                  <c:v>43.464237335871985</c:v>
                </c:pt>
                <c:pt idx="241">
                  <c:v>39.142441190209311</c:v>
                </c:pt>
                <c:pt idx="242">
                  <c:v>20.734265595828852</c:v>
                </c:pt>
                <c:pt idx="243">
                  <c:v>210.47876177571914</c:v>
                </c:pt>
                <c:pt idx="244">
                  <c:v>1.883497107730592</c:v>
                </c:pt>
                <c:pt idx="245">
                  <c:v>9.2037447751169115</c:v>
                </c:pt>
                <c:pt idx="246">
                  <c:v>24.066087648355413</c:v>
                </c:pt>
                <c:pt idx="247">
                  <c:v>133.69193534647226</c:v>
                </c:pt>
                <c:pt idx="248">
                  <c:v>114.35169383521625</c:v>
                </c:pt>
                <c:pt idx="249">
                  <c:v>223.21142602723802</c:v>
                </c:pt>
                <c:pt idx="250">
                  <c:v>215.44651148567459</c:v>
                </c:pt>
                <c:pt idx="251">
                  <c:v>207.87803466638113</c:v>
                </c:pt>
                <c:pt idx="252">
                  <c:v>22.233098497470532</c:v>
                </c:pt>
                <c:pt idx="253">
                  <c:v>9.0461637582832761</c:v>
                </c:pt>
                <c:pt idx="254">
                  <c:v>127.32387431418063</c:v>
                </c:pt>
                <c:pt idx="255">
                  <c:v>656.41769516558827</c:v>
                </c:pt>
                <c:pt idx="256">
                  <c:v>141.92067574530108</c:v>
                </c:pt>
                <c:pt idx="257">
                  <c:v>93.397088669048031</c:v>
                </c:pt>
                <c:pt idx="258">
                  <c:v>69.20099034835259</c:v>
                </c:pt>
                <c:pt idx="259">
                  <c:v>249.59682557196234</c:v>
                </c:pt>
                <c:pt idx="260">
                  <c:v>78.919413064617217</c:v>
                </c:pt>
                <c:pt idx="261">
                  <c:v>29.434231172172765</c:v>
                </c:pt>
                <c:pt idx="262">
                  <c:v>343.39343676691453</c:v>
                </c:pt>
                <c:pt idx="263">
                  <c:v>295.09901395626667</c:v>
                </c:pt>
                <c:pt idx="264">
                  <c:v>219.18195386234333</c:v>
                </c:pt>
                <c:pt idx="265">
                  <c:v>153.10133321498407</c:v>
                </c:pt>
                <c:pt idx="266">
                  <c:v>35.389566982286581</c:v>
                </c:pt>
                <c:pt idx="267">
                  <c:v>99.54852863743163</c:v>
                </c:pt>
                <c:pt idx="268">
                  <c:v>49.672657443787863</c:v>
                </c:pt>
                <c:pt idx="269">
                  <c:v>5.9227079652396526</c:v>
                </c:pt>
                <c:pt idx="270">
                  <c:v>86.252320728931238</c:v>
                </c:pt>
                <c:pt idx="271">
                  <c:v>330.48464769951511</c:v>
                </c:pt>
                <c:pt idx="272">
                  <c:v>305.15039245057767</c:v>
                </c:pt>
                <c:pt idx="273">
                  <c:v>265.8655878492267</c:v>
                </c:pt>
                <c:pt idx="274">
                  <c:v>120.39515998440427</c:v>
                </c:pt>
                <c:pt idx="275">
                  <c:v>292.50081109236953</c:v>
                </c:pt>
                <c:pt idx="276">
                  <c:v>53.193208218025262</c:v>
                </c:pt>
                <c:pt idx="277">
                  <c:v>30.622609051352608</c:v>
                </c:pt>
                <c:pt idx="278">
                  <c:v>4.1215352073926228</c:v>
                </c:pt>
                <c:pt idx="279">
                  <c:v>211.34719898522317</c:v>
                </c:pt>
                <c:pt idx="280">
                  <c:v>97.25232912625026</c:v>
                </c:pt>
                <c:pt idx="281">
                  <c:v>120.46124712355386</c:v>
                </c:pt>
                <c:pt idx="282">
                  <c:v>285.56888390863821</c:v>
                </c:pt>
                <c:pt idx="283">
                  <c:v>35.34412206486904</c:v>
                </c:pt>
                <c:pt idx="284">
                  <c:v>23.670191417058376</c:v>
                </c:pt>
                <c:pt idx="285">
                  <c:v>325.06489414605676</c:v>
                </c:pt>
                <c:pt idx="286">
                  <c:v>104.33493722057611</c:v>
                </c:pt>
                <c:pt idx="287">
                  <c:v>5.2011855908144362</c:v>
                </c:pt>
                <c:pt idx="288">
                  <c:v>239.63304258831505</c:v>
                </c:pt>
                <c:pt idx="289">
                  <c:v>6.3132826610906623</c:v>
                </c:pt>
                <c:pt idx="290">
                  <c:v>38.626573597836554</c:v>
                </c:pt>
                <c:pt idx="291">
                  <c:v>11.298585272675956</c:v>
                </c:pt>
                <c:pt idx="292">
                  <c:v>190.95089813914649</c:v>
                </c:pt>
                <c:pt idx="293">
                  <c:v>61.329906471510263</c:v>
                </c:pt>
                <c:pt idx="294">
                  <c:v>32.532680875359233</c:v>
                </c:pt>
                <c:pt idx="295">
                  <c:v>76.715949247469283</c:v>
                </c:pt>
                <c:pt idx="296">
                  <c:v>46.035646371789895</c:v>
                </c:pt>
                <c:pt idx="297">
                  <c:v>48.347532994487743</c:v>
                </c:pt>
                <c:pt idx="298">
                  <c:v>13.865456795526175</c:v>
                </c:pt>
                <c:pt idx="299">
                  <c:v>58.457662442348422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9-B248-9026-A62FF63DBE1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Лист1!$N$2:$N$301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Лист1!$T$2:$T$301</c:f>
              <c:numCache>
                <c:formatCode>General</c:formatCode>
                <c:ptCount val="300"/>
                <c:pt idx="0">
                  <c:v>9.0411060164370163</c:v>
                </c:pt>
                <c:pt idx="1">
                  <c:v>3.2787860500537529</c:v>
                </c:pt>
                <c:pt idx="2">
                  <c:v>7.1205714013921284</c:v>
                </c:pt>
                <c:pt idx="3">
                  <c:v>69.618338181064146</c:v>
                </c:pt>
                <c:pt idx="4">
                  <c:v>208.97945784627703</c:v>
                </c:pt>
                <c:pt idx="5">
                  <c:v>65.67278839705439</c:v>
                </c:pt>
                <c:pt idx="6">
                  <c:v>48.224966022528264</c:v>
                </c:pt>
                <c:pt idx="7">
                  <c:v>156.76209760821661</c:v>
                </c:pt>
                <c:pt idx="8">
                  <c:v>347.20985561296277</c:v>
                </c:pt>
                <c:pt idx="9">
                  <c:v>86.751124840047993</c:v>
                </c:pt>
                <c:pt idx="10">
                  <c:v>238.6116743355235</c:v>
                </c:pt>
                <c:pt idx="11">
                  <c:v>124.91128080456468</c:v>
                </c:pt>
                <c:pt idx="12">
                  <c:v>163.74854095411436</c:v>
                </c:pt>
                <c:pt idx="13">
                  <c:v>323.13386986768467</c:v>
                </c:pt>
                <c:pt idx="14">
                  <c:v>101.63600576820929</c:v>
                </c:pt>
                <c:pt idx="15">
                  <c:v>59.869137172832417</c:v>
                </c:pt>
                <c:pt idx="16">
                  <c:v>26.843742392015944</c:v>
                </c:pt>
                <c:pt idx="17">
                  <c:v>385.34793528504218</c:v>
                </c:pt>
                <c:pt idx="18">
                  <c:v>6.1711631532910767</c:v>
                </c:pt>
                <c:pt idx="19">
                  <c:v>51.407264953065486</c:v>
                </c:pt>
                <c:pt idx="20">
                  <c:v>383.65208782633016</c:v>
                </c:pt>
                <c:pt idx="21">
                  <c:v>69.816175837652381</c:v>
                </c:pt>
                <c:pt idx="22">
                  <c:v>205.58925626203498</c:v>
                </c:pt>
                <c:pt idx="23">
                  <c:v>19.414115751923774</c:v>
                </c:pt>
                <c:pt idx="24">
                  <c:v>156.36064580607993</c:v>
                </c:pt>
                <c:pt idx="25">
                  <c:v>200.1525332077407</c:v>
                </c:pt>
                <c:pt idx="26">
                  <c:v>45.924806007923728</c:v>
                </c:pt>
                <c:pt idx="27">
                  <c:v>351.73698434319579</c:v>
                </c:pt>
                <c:pt idx="28">
                  <c:v>14.254274695391114</c:v>
                </c:pt>
                <c:pt idx="29">
                  <c:v>196.80360426179192</c:v>
                </c:pt>
                <c:pt idx="30">
                  <c:v>91.063258326022563</c:v>
                </c:pt>
                <c:pt idx="31">
                  <c:v>104.47209333227231</c:v>
                </c:pt>
                <c:pt idx="32">
                  <c:v>41.233914275268482</c:v>
                </c:pt>
                <c:pt idx="33">
                  <c:v>255.53276243593169</c:v>
                </c:pt>
                <c:pt idx="34">
                  <c:v>92.046318707357059</c:v>
                </c:pt>
                <c:pt idx="35">
                  <c:v>369.51695204112565</c:v>
                </c:pt>
                <c:pt idx="36">
                  <c:v>186.78167659962119</c:v>
                </c:pt>
                <c:pt idx="37">
                  <c:v>201.56725093472292</c:v>
                </c:pt>
                <c:pt idx="38">
                  <c:v>270.44403927384445</c:v>
                </c:pt>
                <c:pt idx="39">
                  <c:v>116.30112411759558</c:v>
                </c:pt>
                <c:pt idx="40">
                  <c:v>53.490834331210813</c:v>
                </c:pt>
                <c:pt idx="41">
                  <c:v>17.883851502194045</c:v>
                </c:pt>
                <c:pt idx="42">
                  <c:v>2.0900387419869104</c:v>
                </c:pt>
                <c:pt idx="43">
                  <c:v>147.2628183188173</c:v>
                </c:pt>
                <c:pt idx="44">
                  <c:v>11.430347612756137</c:v>
                </c:pt>
                <c:pt idx="45">
                  <c:v>731.60389341966163</c:v>
                </c:pt>
                <c:pt idx="46">
                  <c:v>41.505251099252362</c:v>
                </c:pt>
                <c:pt idx="47">
                  <c:v>111.43515693908672</c:v>
                </c:pt>
                <c:pt idx="48">
                  <c:v>195.97841151125084</c:v>
                </c:pt>
                <c:pt idx="49">
                  <c:v>151.77323242975962</c:v>
                </c:pt>
                <c:pt idx="50">
                  <c:v>256.73371694230241</c:v>
                </c:pt>
                <c:pt idx="51">
                  <c:v>143.85416189867033</c:v>
                </c:pt>
                <c:pt idx="52">
                  <c:v>106.16867217455095</c:v>
                </c:pt>
                <c:pt idx="53">
                  <c:v>108.10215108390163</c:v>
                </c:pt>
                <c:pt idx="54">
                  <c:v>384.5469874541372</c:v>
                </c:pt>
                <c:pt idx="55">
                  <c:v>306.88887220864751</c:v>
                </c:pt>
                <c:pt idx="56">
                  <c:v>48.97011279241309</c:v>
                </c:pt>
                <c:pt idx="57">
                  <c:v>269.28801251101527</c:v>
                </c:pt>
                <c:pt idx="58">
                  <c:v>36.429051277816278</c:v>
                </c:pt>
                <c:pt idx="59">
                  <c:v>57.198478897031755</c:v>
                </c:pt>
                <c:pt idx="60">
                  <c:v>56.681313554295357</c:v>
                </c:pt>
                <c:pt idx="61">
                  <c:v>113.10163643754393</c:v>
                </c:pt>
                <c:pt idx="62">
                  <c:v>31.382685661733912</c:v>
                </c:pt>
                <c:pt idx="63">
                  <c:v>25.517716625418011</c:v>
                </c:pt>
                <c:pt idx="64">
                  <c:v>387.62336291483217</c:v>
                </c:pt>
                <c:pt idx="65">
                  <c:v>186.77184596136104</c:v>
                </c:pt>
                <c:pt idx="66">
                  <c:v>361.59894115989152</c:v>
                </c:pt>
                <c:pt idx="67">
                  <c:v>150.62877203831812</c:v>
                </c:pt>
                <c:pt idx="68">
                  <c:v>89.137756378158599</c:v>
                </c:pt>
                <c:pt idx="69">
                  <c:v>248.82377885203485</c:v>
                </c:pt>
                <c:pt idx="70">
                  <c:v>127.18130462621306</c:v>
                </c:pt>
                <c:pt idx="71">
                  <c:v>51.695345226585921</c:v>
                </c:pt>
                <c:pt idx="72">
                  <c:v>155.58124318780673</c:v>
                </c:pt>
                <c:pt idx="73">
                  <c:v>26.074152749254182</c:v>
                </c:pt>
                <c:pt idx="74">
                  <c:v>341.53809213506594</c:v>
                </c:pt>
                <c:pt idx="75">
                  <c:v>36.23585632373878</c:v>
                </c:pt>
                <c:pt idx="76">
                  <c:v>84.557157896737664</c:v>
                </c:pt>
                <c:pt idx="77">
                  <c:v>69.446829957612337</c:v>
                </c:pt>
                <c:pt idx="78">
                  <c:v>8.7095110611556255</c:v>
                </c:pt>
                <c:pt idx="79">
                  <c:v>58.191208410178703</c:v>
                </c:pt>
                <c:pt idx="80">
                  <c:v>53.086746416404047</c:v>
                </c:pt>
                <c:pt idx="81">
                  <c:v>80.037890762170534</c:v>
                </c:pt>
                <c:pt idx="82">
                  <c:v>46.667877016817009</c:v>
                </c:pt>
                <c:pt idx="83">
                  <c:v>142.3844053039015</c:v>
                </c:pt>
                <c:pt idx="84">
                  <c:v>296.89509131938792</c:v>
                </c:pt>
                <c:pt idx="85">
                  <c:v>14.391511117753204</c:v>
                </c:pt>
                <c:pt idx="86">
                  <c:v>32.024055712525758</c:v>
                </c:pt>
                <c:pt idx="87">
                  <c:v>101.48343112503375</c:v>
                </c:pt>
                <c:pt idx="88">
                  <c:v>261.7772577507385</c:v>
                </c:pt>
                <c:pt idx="89">
                  <c:v>162.23099837944113</c:v>
                </c:pt>
                <c:pt idx="90">
                  <c:v>50.353193311462121</c:v>
                </c:pt>
                <c:pt idx="91">
                  <c:v>24.887181029329</c:v>
                </c:pt>
                <c:pt idx="92">
                  <c:v>338.04229690641654</c:v>
                </c:pt>
                <c:pt idx="93">
                  <c:v>23.672091933808801</c:v>
                </c:pt>
                <c:pt idx="94">
                  <c:v>80.710620024163305</c:v>
                </c:pt>
                <c:pt idx="95">
                  <c:v>203.3548248279493</c:v>
                </c:pt>
                <c:pt idx="96">
                  <c:v>76.160995957433727</c:v>
                </c:pt>
                <c:pt idx="97">
                  <c:v>935.31551176605069</c:v>
                </c:pt>
                <c:pt idx="98">
                  <c:v>33.21273838624937</c:v>
                </c:pt>
                <c:pt idx="99">
                  <c:v>71.587460168107597</c:v>
                </c:pt>
                <c:pt idx="100">
                  <c:v>189.11094485493743</c:v>
                </c:pt>
                <c:pt idx="101">
                  <c:v>157.18711365479857</c:v>
                </c:pt>
                <c:pt idx="102">
                  <c:v>102.88357607491504</c:v>
                </c:pt>
                <c:pt idx="103">
                  <c:v>14.973927646433889</c:v>
                </c:pt>
                <c:pt idx="104">
                  <c:v>26.154859528819646</c:v>
                </c:pt>
                <c:pt idx="105">
                  <c:v>64.925632980800685</c:v>
                </c:pt>
                <c:pt idx="106">
                  <c:v>335.92963717101355</c:v>
                </c:pt>
                <c:pt idx="107">
                  <c:v>690.65084329741717</c:v>
                </c:pt>
                <c:pt idx="108">
                  <c:v>41.128948225175392</c:v>
                </c:pt>
                <c:pt idx="109">
                  <c:v>64.140143837241681</c:v>
                </c:pt>
                <c:pt idx="110">
                  <c:v>2.3089500654242374</c:v>
                </c:pt>
                <c:pt idx="111">
                  <c:v>297.49960630673985</c:v>
                </c:pt>
                <c:pt idx="112">
                  <c:v>37.139719019253853</c:v>
                </c:pt>
                <c:pt idx="113">
                  <c:v>7.6019609323192476</c:v>
                </c:pt>
                <c:pt idx="114">
                  <c:v>10.14365975015167</c:v>
                </c:pt>
                <c:pt idx="115">
                  <c:v>130.36171715524398</c:v>
                </c:pt>
                <c:pt idx="116">
                  <c:v>189.43839489229165</c:v>
                </c:pt>
                <c:pt idx="117">
                  <c:v>24.956717434000325</c:v>
                </c:pt>
                <c:pt idx="118">
                  <c:v>40.603988065854452</c:v>
                </c:pt>
                <c:pt idx="119">
                  <c:v>433.6718878743028</c:v>
                </c:pt>
                <c:pt idx="120">
                  <c:v>116.16495571773923</c:v>
                </c:pt>
                <c:pt idx="121">
                  <c:v>232.91168808714775</c:v>
                </c:pt>
                <c:pt idx="122">
                  <c:v>50.809283088644079</c:v>
                </c:pt>
                <c:pt idx="123">
                  <c:v>1.6917473165286629</c:v>
                </c:pt>
                <c:pt idx="124">
                  <c:v>221.30730753403276</c:v>
                </c:pt>
                <c:pt idx="125">
                  <c:v>35.475746571366955</c:v>
                </c:pt>
                <c:pt idx="126">
                  <c:v>171.23410111783704</c:v>
                </c:pt>
                <c:pt idx="127">
                  <c:v>358.91945075631105</c:v>
                </c:pt>
                <c:pt idx="128">
                  <c:v>94.439626296940503</c:v>
                </c:pt>
                <c:pt idx="129">
                  <c:v>78.939992862640935</c:v>
                </c:pt>
                <c:pt idx="130">
                  <c:v>243.67045769529909</c:v>
                </c:pt>
                <c:pt idx="131">
                  <c:v>115.79124202977454</c:v>
                </c:pt>
                <c:pt idx="132">
                  <c:v>96.195383401245337</c:v>
                </c:pt>
                <c:pt idx="133">
                  <c:v>7.0568763419258467</c:v>
                </c:pt>
                <c:pt idx="134">
                  <c:v>473.40559424017079</c:v>
                </c:pt>
                <c:pt idx="135">
                  <c:v>279.43166013364754</c:v>
                </c:pt>
                <c:pt idx="136">
                  <c:v>104.64265182705797</c:v>
                </c:pt>
                <c:pt idx="137">
                  <c:v>61.680396028056045</c:v>
                </c:pt>
                <c:pt idx="138">
                  <c:v>194.63600708805399</c:v>
                </c:pt>
                <c:pt idx="139">
                  <c:v>3.7556691571650731</c:v>
                </c:pt>
                <c:pt idx="140">
                  <c:v>191.83230701276094</c:v>
                </c:pt>
                <c:pt idx="141">
                  <c:v>392.63722947372815</c:v>
                </c:pt>
                <c:pt idx="142">
                  <c:v>99.275322189771757</c:v>
                </c:pt>
                <c:pt idx="143">
                  <c:v>92.202405044046557</c:v>
                </c:pt>
                <c:pt idx="144">
                  <c:v>245.65554208850585</c:v>
                </c:pt>
                <c:pt idx="145">
                  <c:v>84.359467445188287</c:v>
                </c:pt>
                <c:pt idx="146">
                  <c:v>35.886168372904493</c:v>
                </c:pt>
                <c:pt idx="147">
                  <c:v>147.1481773775312</c:v>
                </c:pt>
                <c:pt idx="148">
                  <c:v>6.4857256608865637</c:v>
                </c:pt>
                <c:pt idx="149">
                  <c:v>14.887637228981253</c:v>
                </c:pt>
                <c:pt idx="150">
                  <c:v>329.99098312241216</c:v>
                </c:pt>
                <c:pt idx="151">
                  <c:v>10.618457401370089</c:v>
                </c:pt>
                <c:pt idx="152">
                  <c:v>199.54559462848809</c:v>
                </c:pt>
                <c:pt idx="153">
                  <c:v>28.579520251218842</c:v>
                </c:pt>
                <c:pt idx="154">
                  <c:v>151.66285022171533</c:v>
                </c:pt>
                <c:pt idx="155">
                  <c:v>25.721475234978218</c:v>
                </c:pt>
                <c:pt idx="156">
                  <c:v>138.03092560552992</c:v>
                </c:pt>
                <c:pt idx="157">
                  <c:v>459.08276299769096</c:v>
                </c:pt>
                <c:pt idx="158">
                  <c:v>67.720297780133606</c:v>
                </c:pt>
                <c:pt idx="159">
                  <c:v>22.604950041004702</c:v>
                </c:pt>
                <c:pt idx="160">
                  <c:v>127.92748070578712</c:v>
                </c:pt>
                <c:pt idx="161">
                  <c:v>75.366648940258173</c:v>
                </c:pt>
                <c:pt idx="162">
                  <c:v>259.73316079185861</c:v>
                </c:pt>
                <c:pt idx="163">
                  <c:v>105.22648821131735</c:v>
                </c:pt>
                <c:pt idx="164">
                  <c:v>10.263861547944238</c:v>
                </c:pt>
                <c:pt idx="165">
                  <c:v>13.211844364250465</c:v>
                </c:pt>
                <c:pt idx="166">
                  <c:v>92.250336057249484</c:v>
                </c:pt>
                <c:pt idx="167">
                  <c:v>111.95328029898052</c:v>
                </c:pt>
                <c:pt idx="168">
                  <c:v>174.42522888077539</c:v>
                </c:pt>
                <c:pt idx="169">
                  <c:v>175.75297341082504</c:v>
                </c:pt>
                <c:pt idx="170">
                  <c:v>10.598732604826717</c:v>
                </c:pt>
                <c:pt idx="171">
                  <c:v>27.994320216169204</c:v>
                </c:pt>
                <c:pt idx="172">
                  <c:v>233.66616342677838</c:v>
                </c:pt>
                <c:pt idx="173">
                  <c:v>71.638657572780048</c:v>
                </c:pt>
                <c:pt idx="174">
                  <c:v>135.03089805434232</c:v>
                </c:pt>
                <c:pt idx="175">
                  <c:v>18.236167925640501</c:v>
                </c:pt>
                <c:pt idx="176">
                  <c:v>3.4301832430007684</c:v>
                </c:pt>
                <c:pt idx="177">
                  <c:v>190.02312578978666</c:v>
                </c:pt>
                <c:pt idx="178">
                  <c:v>115.64398265853117</c:v>
                </c:pt>
                <c:pt idx="179">
                  <c:v>103.91455300203681</c:v>
                </c:pt>
                <c:pt idx="180">
                  <c:v>76.058861824896425</c:v>
                </c:pt>
                <c:pt idx="181">
                  <c:v>97.668022505055703</c:v>
                </c:pt>
                <c:pt idx="182">
                  <c:v>17.880473445026233</c:v>
                </c:pt>
                <c:pt idx="183">
                  <c:v>15.766459977052721</c:v>
                </c:pt>
                <c:pt idx="184">
                  <c:v>181.79628238170397</c:v>
                </c:pt>
                <c:pt idx="185">
                  <c:v>2.5072639920481934</c:v>
                </c:pt>
                <c:pt idx="186">
                  <c:v>272.68269471879898</c:v>
                </c:pt>
                <c:pt idx="187">
                  <c:v>97.927240078345676</c:v>
                </c:pt>
                <c:pt idx="188">
                  <c:v>183.92557061977053</c:v>
                </c:pt>
                <c:pt idx="189">
                  <c:v>231.81025197899055</c:v>
                </c:pt>
                <c:pt idx="190">
                  <c:v>185.06801227378173</c:v>
                </c:pt>
                <c:pt idx="191">
                  <c:v>84.751876129866886</c:v>
                </c:pt>
                <c:pt idx="192">
                  <c:v>100.25396438852101</c:v>
                </c:pt>
                <c:pt idx="193">
                  <c:v>182.03707911658378</c:v>
                </c:pt>
                <c:pt idx="194">
                  <c:v>92.061714805564833</c:v>
                </c:pt>
                <c:pt idx="195">
                  <c:v>49.453732818426388</c:v>
                </c:pt>
                <c:pt idx="196">
                  <c:v>371.04553851572393</c:v>
                </c:pt>
                <c:pt idx="197">
                  <c:v>90.3551948498976</c:v>
                </c:pt>
                <c:pt idx="198">
                  <c:v>192.16097006157267</c:v>
                </c:pt>
                <c:pt idx="199">
                  <c:v>522.21784990345452</c:v>
                </c:pt>
                <c:pt idx="200">
                  <c:v>416.37628942937613</c:v>
                </c:pt>
                <c:pt idx="201">
                  <c:v>179.17466410815953</c:v>
                </c:pt>
                <c:pt idx="202">
                  <c:v>29.027368859366902</c:v>
                </c:pt>
                <c:pt idx="203">
                  <c:v>29.962626514555883</c:v>
                </c:pt>
                <c:pt idx="204">
                  <c:v>36.094525036811966</c:v>
                </c:pt>
                <c:pt idx="205">
                  <c:v>3.1027829412796208</c:v>
                </c:pt>
                <c:pt idx="206">
                  <c:v>69.570745386962386</c:v>
                </c:pt>
                <c:pt idx="207">
                  <c:v>138.39932416026025</c:v>
                </c:pt>
                <c:pt idx="208">
                  <c:v>37.692881747517959</c:v>
                </c:pt>
                <c:pt idx="209">
                  <c:v>79.343547566521593</c:v>
                </c:pt>
                <c:pt idx="210">
                  <c:v>29.905597197300516</c:v>
                </c:pt>
                <c:pt idx="211">
                  <c:v>257.30711505483413</c:v>
                </c:pt>
                <c:pt idx="212">
                  <c:v>182.07397657783127</c:v>
                </c:pt>
                <c:pt idx="213">
                  <c:v>66.890515722048633</c:v>
                </c:pt>
                <c:pt idx="214">
                  <c:v>25.355114055808855</c:v>
                </c:pt>
                <c:pt idx="215">
                  <c:v>320.71274561461291</c:v>
                </c:pt>
                <c:pt idx="216">
                  <c:v>62.077706509539837</c:v>
                </c:pt>
                <c:pt idx="217">
                  <c:v>28.783276691528211</c:v>
                </c:pt>
                <c:pt idx="218">
                  <c:v>144.29403834299274</c:v>
                </c:pt>
                <c:pt idx="219">
                  <c:v>531.48260069034029</c:v>
                </c:pt>
                <c:pt idx="220">
                  <c:v>160.49528716435756</c:v>
                </c:pt>
                <c:pt idx="221">
                  <c:v>110.89913401457122</c:v>
                </c:pt>
                <c:pt idx="222">
                  <c:v>516.86021057161167</c:v>
                </c:pt>
                <c:pt idx="223">
                  <c:v>85.712444737361437</c:v>
                </c:pt>
                <c:pt idx="224">
                  <c:v>132.99450971916687</c:v>
                </c:pt>
                <c:pt idx="225">
                  <c:v>82.172894535294859</c:v>
                </c:pt>
                <c:pt idx="226">
                  <c:v>140.45623328309475</c:v>
                </c:pt>
                <c:pt idx="227">
                  <c:v>14.927640869824582</c:v>
                </c:pt>
                <c:pt idx="228">
                  <c:v>57.072509941805762</c:v>
                </c:pt>
                <c:pt idx="229">
                  <c:v>120.85609434098862</c:v>
                </c:pt>
                <c:pt idx="230">
                  <c:v>96.109309328053556</c:v>
                </c:pt>
                <c:pt idx="231">
                  <c:v>148.94069296921947</c:v>
                </c:pt>
                <c:pt idx="232">
                  <c:v>445.22660552522512</c:v>
                </c:pt>
                <c:pt idx="233">
                  <c:v>149.15463606238532</c:v>
                </c:pt>
                <c:pt idx="234">
                  <c:v>56.084427274452935</c:v>
                </c:pt>
                <c:pt idx="235">
                  <c:v>93.145201644603432</c:v>
                </c:pt>
                <c:pt idx="236">
                  <c:v>401.54802955666696</c:v>
                </c:pt>
                <c:pt idx="237">
                  <c:v>390.54933887506809</c:v>
                </c:pt>
                <c:pt idx="238">
                  <c:v>84.408620131068417</c:v>
                </c:pt>
                <c:pt idx="239">
                  <c:v>137.32820677242245</c:v>
                </c:pt>
                <c:pt idx="240">
                  <c:v>321.67837215761978</c:v>
                </c:pt>
                <c:pt idx="241">
                  <c:v>135.655722348544</c:v>
                </c:pt>
                <c:pt idx="242">
                  <c:v>108.37785903736365</c:v>
                </c:pt>
                <c:pt idx="243">
                  <c:v>148.3285714603926</c:v>
                </c:pt>
                <c:pt idx="244">
                  <c:v>107.42257361771175</c:v>
                </c:pt>
                <c:pt idx="245">
                  <c:v>40.298590735097541</c:v>
                </c:pt>
                <c:pt idx="246">
                  <c:v>44.36167904401254</c:v>
                </c:pt>
                <c:pt idx="247">
                  <c:v>98.994882873743677</c:v>
                </c:pt>
                <c:pt idx="248">
                  <c:v>11.101254199232512</c:v>
                </c:pt>
                <c:pt idx="249">
                  <c:v>8.1337824383902309</c:v>
                </c:pt>
                <c:pt idx="250">
                  <c:v>62.76812255313817</c:v>
                </c:pt>
                <c:pt idx="251">
                  <c:v>204.34486267543929</c:v>
                </c:pt>
                <c:pt idx="252">
                  <c:v>18.794083129254052</c:v>
                </c:pt>
                <c:pt idx="253">
                  <c:v>29.844821039187774</c:v>
                </c:pt>
                <c:pt idx="254">
                  <c:v>25.362705647899009</c:v>
                </c:pt>
                <c:pt idx="255">
                  <c:v>106.78744171574718</c:v>
                </c:pt>
                <c:pt idx="256">
                  <c:v>4.1674976323085424</c:v>
                </c:pt>
                <c:pt idx="257">
                  <c:v>53.183635639414454</c:v>
                </c:pt>
                <c:pt idx="258">
                  <c:v>18.896629368302285</c:v>
                </c:pt>
                <c:pt idx="259">
                  <c:v>30.273698740851984</c:v>
                </c:pt>
                <c:pt idx="260">
                  <c:v>14.296781080285758</c:v>
                </c:pt>
                <c:pt idx="261">
                  <c:v>11.007271214197335</c:v>
                </c:pt>
                <c:pt idx="262">
                  <c:v>309.63432628299392</c:v>
                </c:pt>
                <c:pt idx="263">
                  <c:v>103.14857693856469</c:v>
                </c:pt>
                <c:pt idx="264">
                  <c:v>34.279156697926368</c:v>
                </c:pt>
                <c:pt idx="265">
                  <c:v>76.320971610739576</c:v>
                </c:pt>
                <c:pt idx="266">
                  <c:v>133.31790500813111</c:v>
                </c:pt>
                <c:pt idx="267">
                  <c:v>150.79685210756242</c:v>
                </c:pt>
                <c:pt idx="268">
                  <c:v>122.31612623556985</c:v>
                </c:pt>
                <c:pt idx="269">
                  <c:v>221.23377012841348</c:v>
                </c:pt>
                <c:pt idx="270">
                  <c:v>197.57980785991316</c:v>
                </c:pt>
                <c:pt idx="271">
                  <c:v>74.997479080872409</c:v>
                </c:pt>
                <c:pt idx="272">
                  <c:v>310.0138140406508</c:v>
                </c:pt>
                <c:pt idx="273">
                  <c:v>136.74078280034513</c:v>
                </c:pt>
                <c:pt idx="274">
                  <c:v>271.20197474442716</c:v>
                </c:pt>
                <c:pt idx="275">
                  <c:v>1.8382505474463338</c:v>
                </c:pt>
                <c:pt idx="276">
                  <c:v>277.16842248647276</c:v>
                </c:pt>
                <c:pt idx="277">
                  <c:v>125.52951098214614</c:v>
                </c:pt>
                <c:pt idx="278">
                  <c:v>26.182903954797879</c:v>
                </c:pt>
                <c:pt idx="279">
                  <c:v>41.151981733474756</c:v>
                </c:pt>
                <c:pt idx="280">
                  <c:v>40.820195328141139</c:v>
                </c:pt>
                <c:pt idx="281">
                  <c:v>188.74888944881977</c:v>
                </c:pt>
                <c:pt idx="282">
                  <c:v>137.57616283745159</c:v>
                </c:pt>
                <c:pt idx="283">
                  <c:v>7.9951499361243643</c:v>
                </c:pt>
                <c:pt idx="284">
                  <c:v>50.736505216359667</c:v>
                </c:pt>
                <c:pt idx="285">
                  <c:v>148.54443722466658</c:v>
                </c:pt>
                <c:pt idx="286">
                  <c:v>34.410633929382882</c:v>
                </c:pt>
                <c:pt idx="287">
                  <c:v>288.27472544283808</c:v>
                </c:pt>
                <c:pt idx="288">
                  <c:v>54.699263721622472</c:v>
                </c:pt>
                <c:pt idx="289">
                  <c:v>116.00045099881713</c:v>
                </c:pt>
                <c:pt idx="290">
                  <c:v>51.840341107359187</c:v>
                </c:pt>
                <c:pt idx="291">
                  <c:v>56.677390729369094</c:v>
                </c:pt>
                <c:pt idx="292">
                  <c:v>233.30187299256716</c:v>
                </c:pt>
                <c:pt idx="293">
                  <c:v>56.388802430330394</c:v>
                </c:pt>
                <c:pt idx="294">
                  <c:v>149.00179211587846</c:v>
                </c:pt>
                <c:pt idx="295">
                  <c:v>70.383852845865903</c:v>
                </c:pt>
                <c:pt idx="296">
                  <c:v>47.793642561869291</c:v>
                </c:pt>
                <c:pt idx="297">
                  <c:v>10.215091702184717</c:v>
                </c:pt>
                <c:pt idx="298">
                  <c:v>191.35855471146567</c:v>
                </c:pt>
                <c:pt idx="299">
                  <c:v>212.43809090144674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89-B248-9026-A62FF63DB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403007"/>
        <c:axId val="834655039"/>
      </c:scatterChart>
      <c:valAx>
        <c:axId val="78140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4655039"/>
        <c:crosses val="autoZero"/>
        <c:crossBetween val="midCat"/>
      </c:valAx>
      <c:valAx>
        <c:axId val="83465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1403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 распределения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Лист1!$X$1</c:f>
              <c:strCache>
                <c:ptCount val="1"/>
                <c:pt idx="0">
                  <c:v>Исходная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Лист1!$W$2:$W$10</c:f>
              <c:strCache>
                <c:ptCount val="9"/>
                <c:pt idx="0">
                  <c:v>0-100</c:v>
                </c:pt>
                <c:pt idx="1">
                  <c:v>100-200</c:v>
                </c:pt>
                <c:pt idx="2">
                  <c:v>200-300</c:v>
                </c:pt>
                <c:pt idx="3">
                  <c:v>300-400</c:v>
                </c:pt>
                <c:pt idx="4">
                  <c:v>400-500</c:v>
                </c:pt>
                <c:pt idx="5">
                  <c:v>500-600</c:v>
                </c:pt>
                <c:pt idx="6">
                  <c:v>600-700</c:v>
                </c:pt>
                <c:pt idx="7">
                  <c:v>700-800</c:v>
                </c:pt>
                <c:pt idx="8">
                  <c:v>800-900</c:v>
                </c:pt>
              </c:strCache>
            </c:strRef>
          </c:cat>
          <c:val>
            <c:numRef>
              <c:f>Лист1!$X$2:$X$10</c:f>
              <c:numCache>
                <c:formatCode>General</c:formatCode>
                <c:ptCount val="9"/>
                <c:pt idx="0">
                  <c:v>160</c:v>
                </c:pt>
                <c:pt idx="1">
                  <c:v>75</c:v>
                </c:pt>
                <c:pt idx="2">
                  <c:v>40</c:v>
                </c:pt>
                <c:pt idx="3">
                  <c:v>14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F-0E4F-85C8-EB00DE2B231A}"/>
            </c:ext>
          </c:extLst>
        </c:ser>
        <c:ser>
          <c:idx val="1"/>
          <c:order val="1"/>
          <c:tx>
            <c:strRef>
              <c:f>Лист1!$Y$1</c:f>
              <c:strCache>
                <c:ptCount val="1"/>
                <c:pt idx="0">
                  <c:v>Сгенерированная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Лист1!$W$2:$W$10</c:f>
              <c:strCache>
                <c:ptCount val="9"/>
                <c:pt idx="0">
                  <c:v>0-100</c:v>
                </c:pt>
                <c:pt idx="1">
                  <c:v>100-200</c:v>
                </c:pt>
                <c:pt idx="2">
                  <c:v>200-300</c:v>
                </c:pt>
                <c:pt idx="3">
                  <c:v>300-400</c:v>
                </c:pt>
                <c:pt idx="4">
                  <c:v>400-500</c:v>
                </c:pt>
                <c:pt idx="5">
                  <c:v>500-600</c:v>
                </c:pt>
                <c:pt idx="6">
                  <c:v>600-700</c:v>
                </c:pt>
                <c:pt idx="7">
                  <c:v>700-800</c:v>
                </c:pt>
                <c:pt idx="8">
                  <c:v>800-900</c:v>
                </c:pt>
              </c:strCache>
            </c:strRef>
          </c:cat>
          <c:val>
            <c:numRef>
              <c:f>Лист1!$Y$2:$Y$10</c:f>
              <c:numCache>
                <c:formatCode>General</c:formatCode>
                <c:ptCount val="9"/>
                <c:pt idx="0">
                  <c:v>151</c:v>
                </c:pt>
                <c:pt idx="1">
                  <c:v>84</c:v>
                </c:pt>
                <c:pt idx="2">
                  <c:v>31</c:v>
                </c:pt>
                <c:pt idx="3">
                  <c:v>22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F-0E4F-85C8-EB00DE2B2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824255"/>
        <c:axId val="723937791"/>
      </c:barChart>
      <c:catAx>
        <c:axId val="70782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937791"/>
        <c:crosses val="autoZero"/>
        <c:auto val="1"/>
        <c:lblAlgn val="ctr"/>
        <c:lblOffset val="100"/>
        <c:noMultiLvlLbl val="0"/>
      </c:catAx>
      <c:valAx>
        <c:axId val="7239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82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Сравнение экспериментальной и аппроксимирующей плотностей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Лист1!$AM$2:$AM$10</c:f>
              <c:numCache>
                <c:formatCode>General</c:formatCode>
                <c:ptCount val="9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450</c:v>
                </c:pt>
                <c:pt idx="5">
                  <c:v>550</c:v>
                </c:pt>
                <c:pt idx="6">
                  <c:v>650</c:v>
                </c:pt>
                <c:pt idx="7">
                  <c:v>750</c:v>
                </c:pt>
                <c:pt idx="8">
                  <c:v>850</c:v>
                </c:pt>
              </c:numCache>
            </c:numRef>
          </c:xVal>
          <c:yVal>
            <c:numRef>
              <c:f>Лист1!$AO$2:$AO$10</c:f>
              <c:numCache>
                <c:formatCode>General</c:formatCode>
                <c:ptCount val="9"/>
                <c:pt idx="0">
                  <c:v>5.3333333333333332E-3</c:v>
                </c:pt>
                <c:pt idx="1">
                  <c:v>2.5000000000000001E-3</c:v>
                </c:pt>
                <c:pt idx="2">
                  <c:v>1.3333333333333333E-3</c:v>
                </c:pt>
                <c:pt idx="3">
                  <c:v>4.6666666666666666E-4</c:v>
                </c:pt>
                <c:pt idx="4">
                  <c:v>1.6666666666666666E-4</c:v>
                </c:pt>
                <c:pt idx="5">
                  <c:v>6.666666666666667E-5</c:v>
                </c:pt>
                <c:pt idx="6">
                  <c:v>6.666666666666667E-5</c:v>
                </c:pt>
                <c:pt idx="7">
                  <c:v>3.3333333333333335E-5</c:v>
                </c:pt>
                <c:pt idx="8">
                  <c:v>3.3333333333333335E-5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0C-B741-97C6-5A3BB881AC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Лист1!$AI$2:$AI$92</c:f>
              <c:numCache>
                <c:formatCode>General</c:formatCode>
                <c:ptCount val="9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</c:numCache>
            </c:numRef>
          </c:xVal>
          <c:yVal>
            <c:numRef>
              <c:f>Лист1!$AJ$2:$AJ$92</c:f>
              <c:numCache>
                <c:formatCode>General</c:formatCode>
                <c:ptCount val="91"/>
                <c:pt idx="0">
                  <c:v>8.1642872318459531E-3</c:v>
                </c:pt>
                <c:pt idx="1">
                  <c:v>7.5098016044508461E-3</c:v>
                </c:pt>
                <c:pt idx="2">
                  <c:v>6.9088772927141176E-3</c:v>
                </c:pt>
                <c:pt idx="3">
                  <c:v>6.3570497045973553E-3</c:v>
                </c:pt>
                <c:pt idx="4">
                  <c:v>5.8502323040773669E-3</c:v>
                </c:pt>
                <c:pt idx="5">
                  <c:v>5.384684175811282E-3</c:v>
                </c:pt>
                <c:pt idx="6">
                  <c:v>4.9569804022539452E-3</c:v>
                </c:pt>
                <c:pt idx="7">
                  <c:v>4.5639850073037032E-3</c:v>
                </c:pt>
                <c:pt idx="8">
                  <c:v>4.2028262421977347E-3</c:v>
                </c:pt>
                <c:pt idx="9">
                  <c:v>3.8708740091084872E-3</c:v>
                </c:pt>
                <c:pt idx="10">
                  <c:v>3.565719235878396E-3</c:v>
                </c:pt>
                <c:pt idx="11">
                  <c:v>3.2851550317260112E-3</c:v>
                </c:pt>
                <c:pt idx="12">
                  <c:v>3.0271594687037526E-3</c:v>
                </c:pt>
                <c:pt idx="13">
                  <c:v>2.7898798473145526E-3</c:v>
                </c:pt>
                <c:pt idx="14">
                  <c:v>2.5716183171185037E-3</c:v>
                </c:pt>
                <c:pt idx="15">
                  <c:v>2.3708187344881424E-3</c:v>
                </c:pt>
                <c:pt idx="16">
                  <c:v>2.1860546499992408E-3</c:v>
                </c:pt>
                <c:pt idx="17">
                  <c:v>2.016018327361565E-3</c:v>
                </c:pt>
                <c:pt idx="18">
                  <c:v>1.8595107043816246E-3</c:v>
                </c:pt>
                <c:pt idx="19">
                  <c:v>1.7154322142804569E-3</c:v>
                </c:pt>
                <c:pt idx="20">
                  <c:v>1.5827743928310228E-3</c:v>
                </c:pt>
                <c:pt idx="21">
                  <c:v>1.4606122032927191E-3</c:v>
                </c:pt>
                <c:pt idx="22">
                  <c:v>1.3480970170605625E-3</c:v>
                </c:pt>
                <c:pt idx="23">
                  <c:v>1.2444501933643491E-3</c:v>
                </c:pt>
                <c:pt idx="24">
                  <c:v>1.1489572062947312E-3</c:v>
                </c:pt>
                <c:pt idx="25">
                  <c:v>1.0609622719407678E-3</c:v>
                </c:pt>
                <c:pt idx="26">
                  <c:v>9.798634325353826E-4</c:v>
                </c:pt>
                <c:pt idx="27">
                  <c:v>9.05108058256292E-4</c:v>
                </c:pt>
                <c:pt idx="28">
                  <c:v>8.3618873075214095E-4</c:v>
                </c:pt>
                <c:pt idx="29">
                  <c:v>7.7263947558584055E-4</c:v>
                </c:pt>
                <c:pt idx="30">
                  <c:v>7.1403231363589077E-4</c:v>
                </c:pt>
                <c:pt idx="31">
                  <c:v>6.5997410409586335E-4</c:v>
                </c:pt>
                <c:pt idx="32">
                  <c:v>6.101036540842275E-4</c:v>
                </c:pt>
                <c:pt idx="33">
                  <c:v>5.640890720413058E-4</c:v>
                </c:pt>
                <c:pt idx="34">
                  <c:v>5.216253440656261E-4</c:v>
                </c:pt>
                <c:pt idx="35">
                  <c:v>4.8243211414491529E-4</c:v>
                </c:pt>
                <c:pt idx="36">
                  <c:v>4.4625165088263224E-4</c:v>
                </c:pt>
                <c:pt idx="37">
                  <c:v>4.1284698482307831E-4</c:v>
                </c:pt>
                <c:pt idx="38">
                  <c:v>3.820002018493691E-4</c:v>
                </c:pt>
                <c:pt idx="39">
                  <c:v>3.5351087938038245E-4</c:v>
                </c:pt>
                <c:pt idx="40">
                  <c:v>3.2719465323569427E-4</c:v>
                </c:pt>
                <c:pt idx="41">
                  <c:v>3.0288190408103466E-4</c:v>
                </c:pt>
                <c:pt idx="42">
                  <c:v>2.8041655331963389E-4</c:v>
                </c:pt>
                <c:pt idx="43">
                  <c:v>2.5965495916494523E-4</c:v>
                </c:pt>
                <c:pt idx="44">
                  <c:v>2.4046490442485198E-4</c:v>
                </c:pt>
                <c:pt idx="45">
                  <c:v>2.2272466825320344E-4</c:v>
                </c:pt>
                <c:pt idx="46">
                  <c:v>2.0632217478739988E-4</c:v>
                </c:pt>
                <c:pt idx="47">
                  <c:v>1.9115421219624779E-4</c:v>
                </c:pt>
                <c:pt idx="48">
                  <c:v>1.7712571621544891E-4</c:v>
                </c:pt>
                <c:pt idx="49">
                  <c:v>1.6414911275343622E-4</c:v>
                </c:pt>
                <c:pt idx="50">
                  <c:v>1.521437146119906E-4</c:v>
                </c:pt>
                <c:pt idx="51">
                  <c:v>1.4103516778797356E-4</c:v>
                </c:pt>
                <c:pt idx="52">
                  <c:v>1.3075494320805329E-4</c:v>
                </c:pt>
                <c:pt idx="53">
                  <c:v>1.2123987010065159E-4</c:v>
                </c:pt>
                <c:pt idx="54">
                  <c:v>1.1243170753138197E-4</c:v>
                </c:pt>
                <c:pt idx="55">
                  <c:v>1.0427675092262141E-4</c:v>
                </c:pt>
                <c:pt idx="56">
                  <c:v>9.6725470646953586E-5</c:v>
                </c:pt>
                <c:pt idx="57">
                  <c:v>8.9732180030246557E-5</c:v>
                </c:pt>
                <c:pt idx="58">
                  <c:v>8.3254730325066223E-5</c:v>
                </c:pt>
                <c:pt idx="59">
                  <c:v>7.7254230420819634E-5</c:v>
                </c:pt>
                <c:pt idx="60">
                  <c:v>7.1694789245124315E-5</c:v>
                </c:pt>
                <c:pt idx="61">
                  <c:v>6.654327898293936E-5</c:v>
                </c:pt>
                <c:pt idx="62">
                  <c:v>6.1769117397353053E-5</c:v>
                </c:pt>
                <c:pt idx="63">
                  <c:v>5.7344067679872772E-5</c:v>
                </c:pt>
                <c:pt idx="64">
                  <c:v>5.3242054389758772E-5</c:v>
                </c:pt>
                <c:pt idx="65">
                  <c:v>4.9438994162439705E-5</c:v>
                </c:pt>
                <c:pt idx="66">
                  <c:v>4.5912639977313443E-5</c:v>
                </c:pt>
                <c:pt idx="67">
                  <c:v>4.2642437876143706E-5</c:v>
                </c:pt>
                <c:pt idx="68">
                  <c:v>3.9609395115624314E-5</c:v>
                </c:pt>
                <c:pt idx="69">
                  <c:v>3.6795958822224724E-5</c:v>
                </c:pt>
                <c:pt idx="70">
                  <c:v>3.4185904294827034E-5</c:v>
                </c:pt>
                <c:pt idx="71">
                  <c:v>3.1764232171528926E-5</c:v>
                </c:pt>
                <c:pt idx="72">
                  <c:v>2.9517073741873683E-5</c:v>
                </c:pt>
                <c:pt idx="73">
                  <c:v>2.7431603745194161E-5</c:v>
                </c:pt>
                <c:pt idx="74">
                  <c:v>2.5495960050184092E-5</c:v>
                </c:pt>
                <c:pt idx="75">
                  <c:v>2.3699169660666007E-5</c:v>
                </c:pt>
                <c:pt idx="76">
                  <c:v>2.2031080538200383E-5</c:v>
                </c:pt>
                <c:pt idx="77">
                  <c:v>2.0482298774029004E-5</c:v>
                </c:pt>
                <c:pt idx="78">
                  <c:v>1.9044130681194543E-5</c:v>
                </c:pt>
                <c:pt idx="79">
                  <c:v>1.7708529412824571E-5</c:v>
                </c:pt>
                <c:pt idx="80">
                  <c:v>1.64680457447815E-5</c:v>
                </c:pt>
                <c:pt idx="81">
                  <c:v>1.5315782690412585E-5</c:v>
                </c:pt>
                <c:pt idx="82">
                  <c:v>1.4245353642208411E-5</c:v>
                </c:pt>
                <c:pt idx="83">
                  <c:v>1.3250843760006048E-5</c:v>
                </c:pt>
                <c:pt idx="84">
                  <c:v>1.2326774348141157E-5</c:v>
                </c:pt>
                <c:pt idx="85">
                  <c:v>1.1468069984836461E-5</c:v>
                </c:pt>
                <c:pt idx="86">
                  <c:v>1.0670028186271432E-5</c:v>
                </c:pt>
                <c:pt idx="87">
                  <c:v>9.9282914053533088E-6</c:v>
                </c:pt>
                <c:pt idx="88">
                  <c:v>9.2388211813372665E-6</c:v>
                </c:pt>
                <c:pt idx="89">
                  <c:v>8.597874271243875E-6</c:v>
                </c:pt>
                <c:pt idx="90">
                  <c:v>8.0019806076063751E-6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0C-B741-97C6-5A3BB881A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230335"/>
        <c:axId val="319227647"/>
      </c:scatterChart>
      <c:valAx>
        <c:axId val="31923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9227647"/>
        <c:crosses val="autoZero"/>
        <c:crossBetween val="midCat"/>
      </c:valAx>
      <c:valAx>
        <c:axId val="3192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923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00000000-B4D0-3E4C-A441-BC6D898BCA1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98</xdr:row>
      <xdr:rowOff>190500</xdr:rowOff>
    </xdr:from>
    <xdr:to>
      <xdr:col>12</xdr:col>
      <xdr:colOff>673100</xdr:colOff>
      <xdr:row>121</xdr:row>
      <xdr:rowOff>12700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2303DD2-07EA-7D9C-42E2-5DE4E2B48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89798</xdr:colOff>
      <xdr:row>125</xdr:row>
      <xdr:rowOff>64141</xdr:rowOff>
    </xdr:from>
    <xdr:to>
      <xdr:col>13</xdr:col>
      <xdr:colOff>12700</xdr:colOff>
      <xdr:row>140</xdr:row>
      <xdr:rowOff>12700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13B9841-2D80-B7F9-2978-DD3837017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12700</xdr:colOff>
      <xdr:row>141</xdr:row>
      <xdr:rowOff>12700</xdr:rowOff>
    </xdr:from>
    <xdr:to>
      <xdr:col>13</xdr:col>
      <xdr:colOff>25400</xdr:colOff>
      <xdr:row>143</xdr:row>
      <xdr:rowOff>12700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2DB776D-B089-9117-8F69-19E2CAB98F5A}"/>
            </a:ext>
          </a:extLst>
        </xdr:cNvPr>
        <xdr:cNvSpPr txBox="1"/>
      </xdr:nvSpPr>
      <xdr:spPr>
        <a:xfrm>
          <a:off x="1663700" y="28663900"/>
          <a:ext cx="10414000" cy="40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 результатам анализа коэффициенты автокорелляции близки к нулю, выраженная зависимость между элементами последовательности при рассмотренных сдвигах не наблюдается, так что последовательность можно считать случайной</a:t>
          </a:r>
          <a:r>
            <a:rPr lang="ru-RU">
              <a:effectLst/>
            </a:rPr>
            <a:t> </a:t>
          </a:r>
        </a:p>
        <a:p>
          <a:endParaRPr lang="ru-RU" sz="1100"/>
        </a:p>
      </xdr:txBody>
    </xdr:sp>
    <xdr:clientData/>
  </xdr:twoCellAnchor>
  <xdr:twoCellAnchor>
    <xdr:from>
      <xdr:col>2</xdr:col>
      <xdr:colOff>1716425</xdr:colOff>
      <xdr:row>146</xdr:row>
      <xdr:rowOff>128282</xdr:rowOff>
    </xdr:from>
    <xdr:to>
      <xdr:col>12</xdr:col>
      <xdr:colOff>254000</xdr:colOff>
      <xdr:row>163</xdr:row>
      <xdr:rowOff>14111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7129FEA6-D206-9B0C-E351-58355B519E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1536" y="31017504"/>
              <a:ext cx="8161353" cy="3484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</xdr:col>
      <xdr:colOff>12829</xdr:colOff>
      <xdr:row>166</xdr:row>
      <xdr:rowOff>12828</xdr:rowOff>
    </xdr:from>
    <xdr:to>
      <xdr:col>8</xdr:col>
      <xdr:colOff>769698</xdr:colOff>
      <xdr:row>167</xdr:row>
      <xdr:rowOff>128282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731CE27-7EDD-7139-BDE1-E016F47F014D}"/>
            </a:ext>
          </a:extLst>
        </xdr:cNvPr>
        <xdr:cNvSpPr txBox="1"/>
      </xdr:nvSpPr>
      <xdr:spPr>
        <a:xfrm>
          <a:off x="1654849" y="34084747"/>
          <a:ext cx="7017071" cy="3207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Так как коэффициент</a:t>
          </a:r>
          <a:r>
            <a:rPr lang="ru-RU" sz="1100" baseline="0"/>
            <a:t> вариации </a:t>
          </a:r>
          <a:r>
            <a:rPr lang="en-US" sz="1100" baseline="0"/>
            <a:t>&gt; 1 д</a:t>
          </a:r>
          <a:r>
            <a:rPr lang="ru-RU" sz="1100" baseline="0"/>
            <a:t>ля аппроксимации используется гиперэкспоненциальное распределение</a:t>
          </a:r>
          <a:endParaRPr lang="ru-RU" sz="1100"/>
        </a:p>
      </xdr:txBody>
    </xdr:sp>
    <xdr:clientData/>
  </xdr:twoCellAnchor>
  <xdr:twoCellAnchor>
    <xdr:from>
      <xdr:col>4</xdr:col>
      <xdr:colOff>446424</xdr:colOff>
      <xdr:row>183</xdr:row>
      <xdr:rowOff>77996</xdr:rowOff>
    </xdr:from>
    <xdr:to>
      <xdr:col>10</xdr:col>
      <xdr:colOff>92364</xdr:colOff>
      <xdr:row>195</xdr:row>
      <xdr:rowOff>204227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F516BD81-E011-B6E5-F889-62717E289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25657</xdr:colOff>
      <xdr:row>199</xdr:row>
      <xdr:rowOff>1026</xdr:rowOff>
    </xdr:from>
    <xdr:to>
      <xdr:col>13</xdr:col>
      <xdr:colOff>12828</xdr:colOff>
      <xdr:row>218</xdr:row>
      <xdr:rowOff>51312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68B5F4CC-CC39-5FD1-888C-143D377CB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828260</xdr:colOff>
      <xdr:row>219</xdr:row>
      <xdr:rowOff>1025</xdr:rowOff>
    </xdr:from>
    <xdr:to>
      <xdr:col>12</xdr:col>
      <xdr:colOff>809855</xdr:colOff>
      <xdr:row>240</xdr:row>
      <xdr:rowOff>184057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B4CB05-603C-FE34-A15F-725FA1C8E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85688</xdr:colOff>
      <xdr:row>12</xdr:row>
      <xdr:rowOff>5509</xdr:rowOff>
    </xdr:from>
    <xdr:to>
      <xdr:col>48</xdr:col>
      <xdr:colOff>710340</xdr:colOff>
      <xdr:row>35</xdr:row>
      <xdr:rowOff>129152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38C1B1E-98BA-B088-BE45-F787EBF1D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5B3E-E0A5-3C46-86B3-DE9AA990E260}">
  <dimension ref="A1:AS472"/>
  <sheetViews>
    <sheetView tabSelected="1" zoomScale="84" zoomScaleNormal="90" workbookViewId="0">
      <selection activeCell="J21" sqref="J21"/>
    </sheetView>
  </sheetViews>
  <sheetFormatPr baseColWidth="10" defaultRowHeight="16" x14ac:dyDescent="0.2"/>
  <cols>
    <col min="3" max="3" width="22.6640625" customWidth="1"/>
    <col min="4" max="4" width="16.33203125" customWidth="1"/>
    <col min="25" max="25" width="16.83203125" customWidth="1"/>
    <col min="26" max="26" width="19.5" customWidth="1"/>
    <col min="27" max="27" width="17.33203125" customWidth="1"/>
    <col min="33" max="33" width="11" bestFit="1" customWidth="1"/>
    <col min="35" max="35" width="11" bestFit="1" customWidth="1"/>
    <col min="36" max="36" width="12.6640625" customWidth="1"/>
    <col min="39" max="40" width="11" bestFit="1" customWidth="1"/>
    <col min="41" max="41" width="12.6640625" bestFit="1" customWidth="1"/>
  </cols>
  <sheetData>
    <row r="1" spans="1:41" x14ac:dyDescent="0.2">
      <c r="A1" s="1"/>
      <c r="B1" s="4" t="s">
        <v>8</v>
      </c>
      <c r="C1" s="4"/>
      <c r="D1" s="4"/>
      <c r="E1" s="4"/>
      <c r="F1" s="4"/>
      <c r="G1" s="4"/>
      <c r="H1" s="4"/>
      <c r="I1" s="4"/>
      <c r="J1" s="4"/>
      <c r="K1" s="4"/>
      <c r="L1" s="5"/>
      <c r="M1" s="4"/>
      <c r="O1" s="1"/>
      <c r="R1" t="s">
        <v>35</v>
      </c>
      <c r="S1" s="2" t="s">
        <v>36</v>
      </c>
      <c r="T1" t="s">
        <v>37</v>
      </c>
      <c r="W1" t="s">
        <v>46</v>
      </c>
      <c r="X1" s="1" t="s">
        <v>48</v>
      </c>
      <c r="Y1" t="s">
        <v>47</v>
      </c>
      <c r="AB1">
        <v>10</v>
      </c>
      <c r="AC1">
        <v>20</v>
      </c>
      <c r="AD1">
        <v>50</v>
      </c>
      <c r="AE1">
        <v>100</v>
      </c>
      <c r="AF1">
        <v>200</v>
      </c>
      <c r="AG1">
        <v>300</v>
      </c>
      <c r="AI1" t="s">
        <v>75</v>
      </c>
      <c r="AJ1" t="s">
        <v>76</v>
      </c>
      <c r="AL1" t="s">
        <v>77</v>
      </c>
      <c r="AM1" t="s">
        <v>78</v>
      </c>
      <c r="AN1" t="s">
        <v>79</v>
      </c>
      <c r="AO1" t="s">
        <v>80</v>
      </c>
    </row>
    <row r="2" spans="1:41" ht="17" x14ac:dyDescent="0.25">
      <c r="A2" s="2">
        <v>137.4740292838388</v>
      </c>
      <c r="C2" t="s">
        <v>0</v>
      </c>
      <c r="D2" s="2"/>
      <c r="L2" s="2"/>
      <c r="N2">
        <v>1</v>
      </c>
      <c r="O2" s="2">
        <v>137.4740292838388</v>
      </c>
      <c r="R2" s="7">
        <f ca="1">RAND()</f>
        <v>0.36801833830543407</v>
      </c>
      <c r="S2" s="7">
        <f ca="1">IF(R2&lt;$D$170,1,2)</f>
        <v>1</v>
      </c>
      <c r="T2">
        <f ca="1">IF(S2=1,-$D$171*LN(RAND()),-$D$172*LN(RAND()))</f>
        <v>9.0411060164370163</v>
      </c>
      <c r="W2" t="s">
        <v>49</v>
      </c>
      <c r="X2">
        <f>COUNTIFS($O$2:$O$301,"&gt;=0",$O$2:$O$301,"&lt;100")</f>
        <v>160</v>
      </c>
      <c r="Y2">
        <f ca="1">COUNTIFS($T$2:$T$301,"&gt;=0",$T$2:$T$301,"&lt;100")</f>
        <v>151</v>
      </c>
      <c r="AA2" t="s">
        <v>60</v>
      </c>
      <c r="AB2">
        <f ca="1">AVERAGE(T2:T11)</f>
        <v>100.26590919760341</v>
      </c>
      <c r="AC2">
        <f ca="1">AVERAGE(T2:T21)</f>
        <v>124.21698533311887</v>
      </c>
      <c r="AD2">
        <f ca="1">AVERAGE(T2:T51)</f>
        <v>146.42914833224359</v>
      </c>
      <c r="AE2">
        <f ca="1">AVERAGE(T2:T101)</f>
        <v>146.78392324225749</v>
      </c>
      <c r="AF2">
        <f ca="1">AVERAGE(T2:T201)</f>
        <v>141.64504665775769</v>
      </c>
      <c r="AG2">
        <f ca="1">AVERAGE(T2:T301)</f>
        <v>135.95439366282511</v>
      </c>
      <c r="AI2">
        <v>0</v>
      </c>
      <c r="AJ2">
        <f>$D$170/$D$171*EXP(-AI2/$D$171)+(1-$D$170)/$D$172*EXP(-AI2/$D$172)</f>
        <v>8.1642872318459531E-3</v>
      </c>
      <c r="AL2" t="s">
        <v>49</v>
      </c>
      <c r="AM2">
        <v>50</v>
      </c>
      <c r="AN2">
        <v>160</v>
      </c>
      <c r="AO2">
        <f>AN2/(300*100)</f>
        <v>5.3333333333333332E-3</v>
      </c>
    </row>
    <row r="3" spans="1:41" ht="17" x14ac:dyDescent="0.25">
      <c r="A3" s="2">
        <v>132.24143628959155</v>
      </c>
      <c r="C3">
        <v>10</v>
      </c>
      <c r="D3" s="2">
        <f>AVERAGE(A2:A11)</f>
        <v>83.792817459649442</v>
      </c>
      <c r="L3" s="2"/>
      <c r="N3">
        <v>2</v>
      </c>
      <c r="O3" s="2">
        <v>132.24143628959155</v>
      </c>
      <c r="R3" s="7">
        <f t="shared" ref="R3:R66" ca="1" si="0">RAND()</f>
        <v>0.7621964273421401</v>
      </c>
      <c r="S3" s="7">
        <f t="shared" ref="S3:S66" ca="1" si="1">IF(R3&lt;$D$170,1,2)</f>
        <v>2</v>
      </c>
      <c r="T3">
        <f t="shared" ref="T3:T66" ca="1" si="2">IF(S3=1,-$D$171*LN(RAND()),-$D$172*LN(RAND()))</f>
        <v>3.2787860500537529</v>
      </c>
      <c r="W3" t="s">
        <v>50</v>
      </c>
      <c r="X3">
        <f>COUNTIFS($O$2:$O$301,"&gt;=100",$O$2:$O$301,"&lt;200")</f>
        <v>75</v>
      </c>
      <c r="Y3">
        <f ca="1">COUNTIFS($T$2:$T$301,"&gt;=100",$T$2:$T$301,"&lt;200")</f>
        <v>84</v>
      </c>
      <c r="AA3" t="s">
        <v>61</v>
      </c>
      <c r="AB3">
        <f ca="1">_xlfn.VAR.S(T2:T11)</f>
        <v>11935.906126630618</v>
      </c>
      <c r="AC3">
        <f ca="1">_xlfn.VAR.S(T2:T21)</f>
        <v>14154.449082191813</v>
      </c>
      <c r="AD3">
        <f ca="1">_xlfn.VAR.S(T2:T51)</f>
        <v>19564.664125111107</v>
      </c>
      <c r="AE3">
        <f ca="1">_xlfn.VAR.S(T2:T101)</f>
        <v>22115.464665847136</v>
      </c>
      <c r="AF3">
        <f ca="1">_xlfn.VAR.S(T2:T201)</f>
        <v>19445.205074675829</v>
      </c>
      <c r="AG3">
        <f ca="1">_xlfn.VAR.S(T2:T301)</f>
        <v>17452.989894477607</v>
      </c>
      <c r="AI3">
        <f>AI2+10</f>
        <v>10</v>
      </c>
      <c r="AJ3">
        <f t="shared" ref="AJ3:AJ66" si="3">$D$170/$D$171*EXP(-AI3/$D$171)+(1-$D$170)/$D$172*EXP(-AI3/$D$172)</f>
        <v>7.5098016044508461E-3</v>
      </c>
      <c r="AL3" t="s">
        <v>50</v>
      </c>
      <c r="AM3">
        <v>150</v>
      </c>
      <c r="AN3">
        <v>75</v>
      </c>
      <c r="AO3">
        <f t="shared" ref="AO3:AO10" si="4">AN3/(300*100)</f>
        <v>2.5000000000000001E-3</v>
      </c>
    </row>
    <row r="4" spans="1:41" ht="17" x14ac:dyDescent="0.25">
      <c r="A4" s="2">
        <v>33.80108216252723</v>
      </c>
      <c r="C4">
        <v>20</v>
      </c>
      <c r="D4" s="2">
        <f>AVERAGE(A2:A21)</f>
        <v>96.151884527412889</v>
      </c>
      <c r="L4" s="2"/>
      <c r="N4">
        <v>3</v>
      </c>
      <c r="O4" s="2">
        <v>33.80108216252723</v>
      </c>
      <c r="R4" s="7">
        <f t="shared" ca="1" si="0"/>
        <v>0.68298941691487025</v>
      </c>
      <c r="S4" s="7">
        <f ca="1">IF(R4&lt;$D$170,1,2)</f>
        <v>2</v>
      </c>
      <c r="T4">
        <f t="shared" ca="1" si="2"/>
        <v>7.1205714013921284</v>
      </c>
      <c r="W4" t="s">
        <v>51</v>
      </c>
      <c r="X4">
        <f>COUNTIFS($O$2:$O$301,"&gt;=200",$O$2:$O$301,"&lt;300")</f>
        <v>40</v>
      </c>
      <c r="Y4">
        <f ca="1">COUNTIFS($T$2:$T$301,"&gt;=200",$T$2:$T$301,"&lt;300")</f>
        <v>31</v>
      </c>
      <c r="AA4" t="s">
        <v>62</v>
      </c>
      <c r="AB4">
        <f ca="1">SQRT(AB3)</f>
        <v>109.25157265060589</v>
      </c>
      <c r="AC4">
        <f ca="1">SQRT(AC3)</f>
        <v>118.97247195125355</v>
      </c>
      <c r="AD4">
        <f ca="1">SQRT(AD3)</f>
        <v>139.87374351575463</v>
      </c>
      <c r="AE4">
        <f ca="1">SQRT(AE3)</f>
        <v>148.71269167709639</v>
      </c>
      <c r="AF4">
        <f ca="1">SQRT(AF3)</f>
        <v>139.44606511004829</v>
      </c>
      <c r="AG4">
        <f ca="1">SQRT(AG3)</f>
        <v>132.10976456900377</v>
      </c>
      <c r="AI4">
        <f t="shared" ref="AI4:AI67" si="5">AI3+10</f>
        <v>20</v>
      </c>
      <c r="AJ4">
        <f t="shared" si="3"/>
        <v>6.9088772927141176E-3</v>
      </c>
      <c r="AL4" t="s">
        <v>51</v>
      </c>
      <c r="AM4">
        <v>250</v>
      </c>
      <c r="AN4">
        <v>40</v>
      </c>
      <c r="AO4">
        <f t="shared" si="4"/>
        <v>1.3333333333333333E-3</v>
      </c>
    </row>
    <row r="5" spans="1:41" ht="17" x14ac:dyDescent="0.25">
      <c r="A5" s="2">
        <v>293.98475984689134</v>
      </c>
      <c r="C5">
        <v>50</v>
      </c>
      <c r="D5" s="2">
        <f>AVERAGE(A2:A51)</f>
        <v>115.09440214584804</v>
      </c>
      <c r="L5" s="2"/>
      <c r="N5">
        <v>4</v>
      </c>
      <c r="O5" s="2">
        <v>293.98475984689134</v>
      </c>
      <c r="R5" s="7">
        <f t="shared" ca="1" si="0"/>
        <v>0.57895986331959615</v>
      </c>
      <c r="S5" s="7">
        <f t="shared" ca="1" si="1"/>
        <v>2</v>
      </c>
      <c r="T5">
        <f t="shared" ca="1" si="2"/>
        <v>69.618338181064146</v>
      </c>
      <c r="W5" t="s">
        <v>52</v>
      </c>
      <c r="X5">
        <f>COUNTIFS($O$2:$O$301,"&gt;=300",$O$2:$O$301,"&lt;400")</f>
        <v>14</v>
      </c>
      <c r="Y5">
        <f ca="1">COUNTIFS($T$2:$T$301,"&gt;=300",$T$2:$T$301,"&lt;400")</f>
        <v>22</v>
      </c>
      <c r="AA5" t="s">
        <v>63</v>
      </c>
      <c r="AB5">
        <f ca="1">AB4/AB2</f>
        <v>1.0896183311447722</v>
      </c>
      <c r="AC5">
        <f ca="1">AC4/AC2</f>
        <v>0.95777941826714885</v>
      </c>
      <c r="AD5">
        <f ca="1">AD4/AD2</f>
        <v>0.95523155812109939</v>
      </c>
      <c r="AE5">
        <f ca="1">AE4/AE2</f>
        <v>1.0131401885999163</v>
      </c>
      <c r="AF5">
        <f ca="1">AF4/AF2</f>
        <v>0.98447540807394018</v>
      </c>
      <c r="AG5">
        <f ca="1">AG4/AG2</f>
        <v>0.97172118538988705</v>
      </c>
      <c r="AI5">
        <f t="shared" si="5"/>
        <v>30</v>
      </c>
      <c r="AJ5">
        <f t="shared" si="3"/>
        <v>6.3570497045973553E-3</v>
      </c>
      <c r="AL5" t="s">
        <v>52</v>
      </c>
      <c r="AM5">
        <v>350</v>
      </c>
      <c r="AN5">
        <v>14</v>
      </c>
      <c r="AO5">
        <f t="shared" si="4"/>
        <v>4.6666666666666666E-4</v>
      </c>
    </row>
    <row r="6" spans="1:41" ht="17" x14ac:dyDescent="0.25">
      <c r="A6" s="2">
        <v>51.326151059657448</v>
      </c>
      <c r="C6">
        <v>100</v>
      </c>
      <c r="D6" s="2">
        <f>AVERAGE(A2:A101)</f>
        <v>126.97270958552656</v>
      </c>
      <c r="L6" s="2"/>
      <c r="N6">
        <v>5</v>
      </c>
      <c r="O6" s="2">
        <v>51.326151059657448</v>
      </c>
      <c r="R6" s="7">
        <f t="shared" ca="1" si="0"/>
        <v>3.1205550361791401E-2</v>
      </c>
      <c r="S6" s="7">
        <f t="shared" ca="1" si="1"/>
        <v>1</v>
      </c>
      <c r="T6">
        <f t="shared" ca="1" si="2"/>
        <v>208.97945784627703</v>
      </c>
      <c r="W6" t="s">
        <v>53</v>
      </c>
      <c r="X6">
        <f>COUNTIFS($O$2:$O$301,"&gt;=400",$O$2:$O$301,"&lt;500")</f>
        <v>5</v>
      </c>
      <c r="Y6">
        <f ca="1">COUNTIFS($T$2:$T$301,"&gt;=400",$T$2:$T$301,"&lt;500")</f>
        <v>6</v>
      </c>
      <c r="AA6" t="s">
        <v>64</v>
      </c>
      <c r="AB6">
        <f ca="1">AB4/SQRT(10)</f>
        <v>34.548380753127368</v>
      </c>
      <c r="AC6">
        <f ca="1">AC4/SQRT(20)</f>
        <v>26.603053473418999</v>
      </c>
      <c r="AD6">
        <f ca="1">AD4/SQRT(50)</f>
        <v>19.781134509987595</v>
      </c>
      <c r="AE6">
        <f ca="1">AE4/SQRT(100)</f>
        <v>14.871269167709638</v>
      </c>
      <c r="AF6">
        <f ca="1">AF4/SQRT(200)</f>
        <v>9.860325824909598</v>
      </c>
      <c r="AG6">
        <f ca="1">AG4/SQRT(300)</f>
        <v>7.6273608136492408</v>
      </c>
      <c r="AI6">
        <f t="shared" si="5"/>
        <v>40</v>
      </c>
      <c r="AJ6">
        <f t="shared" si="3"/>
        <v>5.8502323040773669E-3</v>
      </c>
      <c r="AL6" t="s">
        <v>53</v>
      </c>
      <c r="AM6">
        <v>450</v>
      </c>
      <c r="AN6">
        <v>5</v>
      </c>
      <c r="AO6">
        <f t="shared" si="4"/>
        <v>1.6666666666666666E-4</v>
      </c>
    </row>
    <row r="7" spans="1:41" ht="17" x14ac:dyDescent="0.25">
      <c r="A7" s="2">
        <v>24.183152991327525</v>
      </c>
      <c r="C7">
        <v>200</v>
      </c>
      <c r="D7" s="2">
        <f>AVERAGE(A2:A201)</f>
        <v>133.46052347907823</v>
      </c>
      <c r="L7" s="2"/>
      <c r="N7">
        <v>6</v>
      </c>
      <c r="O7" s="2">
        <v>24.183152991327525</v>
      </c>
      <c r="R7" s="7">
        <f t="shared" ca="1" si="0"/>
        <v>0.2705023313692424</v>
      </c>
      <c r="S7" s="7">
        <f t="shared" ca="1" si="1"/>
        <v>1</v>
      </c>
      <c r="T7">
        <f t="shared" ca="1" si="2"/>
        <v>65.67278839705439</v>
      </c>
      <c r="W7" t="s">
        <v>54</v>
      </c>
      <c r="X7">
        <f>COUNTIFS($O$2:$O$301,"&gt;=500",$O$2:$O$301,"&lt;600")</f>
        <v>2</v>
      </c>
      <c r="Y7">
        <f ca="1">COUNTIFS($T$2:$T$301,"&gt;=500",$T$2:$T$301,"&lt;600")</f>
        <v>3</v>
      </c>
      <c r="AA7" t="s">
        <v>65</v>
      </c>
      <c r="AB7">
        <f ca="1">1.643*AB6</f>
        <v>56.762989577388268</v>
      </c>
      <c r="AC7">
        <f ca="1">1.643*AC6</f>
        <v>43.708816856827418</v>
      </c>
      <c r="AD7">
        <f ca="1">1.643*AD6</f>
        <v>32.500403999909622</v>
      </c>
      <c r="AE7">
        <f ca="1">1.643*AE6</f>
        <v>24.433495242546936</v>
      </c>
      <c r="AF7">
        <f ca="1">1.643*AF6</f>
        <v>16.200515330326471</v>
      </c>
      <c r="AG7">
        <f ca="1">1.643*AG6</f>
        <v>12.531753816825702</v>
      </c>
      <c r="AI7">
        <f t="shared" si="5"/>
        <v>50</v>
      </c>
      <c r="AJ7">
        <f t="shared" si="3"/>
        <v>5.384684175811282E-3</v>
      </c>
      <c r="AL7" t="s">
        <v>54</v>
      </c>
      <c r="AM7">
        <v>550</v>
      </c>
      <c r="AN7">
        <v>2</v>
      </c>
      <c r="AO7">
        <f t="shared" si="4"/>
        <v>6.666666666666667E-5</v>
      </c>
    </row>
    <row r="8" spans="1:41" ht="17" x14ac:dyDescent="0.25">
      <c r="A8" s="2">
        <v>10.683053805638794</v>
      </c>
      <c r="C8">
        <v>300</v>
      </c>
      <c r="D8" s="2">
        <f>AVERAGE(A2:A301)</f>
        <v>125.57906405113172</v>
      </c>
      <c r="L8" s="2"/>
      <c r="N8">
        <v>7</v>
      </c>
      <c r="O8" s="2">
        <v>10.683053805638794</v>
      </c>
      <c r="R8" s="7">
        <f t="shared" ca="1" si="0"/>
        <v>0.82524631952512051</v>
      </c>
      <c r="S8" s="7">
        <f t="shared" ca="1" si="1"/>
        <v>2</v>
      </c>
      <c r="T8">
        <f t="shared" ca="1" si="2"/>
        <v>48.224966022528264</v>
      </c>
      <c r="W8" t="s">
        <v>55</v>
      </c>
      <c r="X8">
        <f>COUNTIFS($O$2:$O$301,"&gt;=600",$O$2:$O$301,"&lt;700")</f>
        <v>2</v>
      </c>
      <c r="Y8">
        <f ca="1">COUNTIFS($T$2:$T$301,"&gt;=600",$T$2:$T$301,"&lt;700")</f>
        <v>1</v>
      </c>
      <c r="AA8" t="s">
        <v>66</v>
      </c>
      <c r="AB8">
        <f ca="1">1.96*AB6</f>
        <v>67.714826276129642</v>
      </c>
      <c r="AC8">
        <f ca="1">1.96*AC6</f>
        <v>52.141984807901238</v>
      </c>
      <c r="AD8">
        <f ca="1">1.96*AD6</f>
        <v>38.771023639575688</v>
      </c>
      <c r="AE8">
        <f ca="1">1.96*AE6</f>
        <v>29.147687568710889</v>
      </c>
      <c r="AF8">
        <f ca="1">1.96*AF6</f>
        <v>19.326238616822813</v>
      </c>
      <c r="AG8">
        <f ca="1">1.96*AG6</f>
        <v>14.949627194752512</v>
      </c>
      <c r="AI8">
        <f t="shared" si="5"/>
        <v>60</v>
      </c>
      <c r="AJ8">
        <f t="shared" si="3"/>
        <v>4.9569804022539452E-3</v>
      </c>
      <c r="AL8" t="s">
        <v>55</v>
      </c>
      <c r="AM8">
        <v>650</v>
      </c>
      <c r="AN8">
        <v>2</v>
      </c>
      <c r="AO8">
        <f t="shared" si="4"/>
        <v>6.666666666666667E-5</v>
      </c>
    </row>
    <row r="9" spans="1:41" ht="17" x14ac:dyDescent="0.25">
      <c r="A9" s="2">
        <v>36.01781894174718</v>
      </c>
      <c r="C9" t="s">
        <v>1</v>
      </c>
      <c r="D9" t="s">
        <v>84</v>
      </c>
      <c r="L9" s="2"/>
      <c r="N9">
        <v>8</v>
      </c>
      <c r="O9" s="2">
        <v>36.01781894174718</v>
      </c>
      <c r="R9" s="7">
        <f t="shared" ca="1" si="0"/>
        <v>3.7714370015634713E-2</v>
      </c>
      <c r="S9" s="7">
        <f t="shared" ca="1" si="1"/>
        <v>1</v>
      </c>
      <c r="T9">
        <f t="shared" ca="1" si="2"/>
        <v>156.76209760821661</v>
      </c>
      <c r="W9" t="s">
        <v>56</v>
      </c>
      <c r="X9">
        <f>COUNTIFS($O$2:$O$301,"&gt;=700",$O$2:$O$301,"&lt;800")</f>
        <v>1</v>
      </c>
      <c r="Y9">
        <f ca="1">COUNTIFS($T$2:$T$301,"&gt;=700",$T$2:$T$301,"&lt;800")</f>
        <v>1</v>
      </c>
      <c r="AA9" t="s">
        <v>67</v>
      </c>
      <c r="AB9">
        <f ca="1">2.576*AB6</f>
        <v>88.996628820056102</v>
      </c>
      <c r="AC9">
        <f ca="1">2.576*AC6</f>
        <v>68.52946574752734</v>
      </c>
      <c r="AD9">
        <f ca="1">2.576*AD6</f>
        <v>50.956202497728043</v>
      </c>
      <c r="AE9">
        <f ca="1">2.576*AE6</f>
        <v>38.308389376020031</v>
      </c>
      <c r="AF9">
        <f ca="1">2.576*AF6</f>
        <v>25.400199324967126</v>
      </c>
      <c r="AG9">
        <f ca="1">2.576*AG6</f>
        <v>19.648081455960444</v>
      </c>
      <c r="AI9">
        <f t="shared" si="5"/>
        <v>70</v>
      </c>
      <c r="AJ9">
        <f t="shared" si="3"/>
        <v>4.5639850073037032E-3</v>
      </c>
      <c r="AL9" t="s">
        <v>56</v>
      </c>
      <c r="AM9">
        <v>750</v>
      </c>
      <c r="AN9">
        <v>1</v>
      </c>
      <c r="AO9">
        <f t="shared" si="4"/>
        <v>3.3333333333333335E-5</v>
      </c>
    </row>
    <row r="10" spans="1:41" ht="17" x14ac:dyDescent="0.25">
      <c r="A10" s="2">
        <v>40.42597327587692</v>
      </c>
      <c r="C10">
        <v>10</v>
      </c>
      <c r="D10">
        <f>_xlfn.VAR.S(A2:A11)</f>
        <v>7340.0400385757321</v>
      </c>
      <c r="L10" s="2"/>
      <c r="N10">
        <v>9</v>
      </c>
      <c r="O10" s="2">
        <v>40.42597327587692</v>
      </c>
      <c r="R10" s="7">
        <f t="shared" ca="1" si="0"/>
        <v>0.90730650462826568</v>
      </c>
      <c r="S10" s="7">
        <f t="shared" ca="1" si="1"/>
        <v>2</v>
      </c>
      <c r="T10">
        <f t="shared" ca="1" si="2"/>
        <v>347.20985561296277</v>
      </c>
      <c r="W10" t="s">
        <v>57</v>
      </c>
      <c r="X10">
        <f>COUNTIFS($O$2:$O$301,"&gt;=800",$O$2:$O$301,"&lt;=900")</f>
        <v>1</v>
      </c>
      <c r="Y10">
        <f ca="1">COUNTIFS($T$2:$T$301,"&gt;=800",$T$2:$T$301,"&lt;=900")</f>
        <v>0</v>
      </c>
      <c r="AI10">
        <f t="shared" si="5"/>
        <v>80</v>
      </c>
      <c r="AJ10">
        <f t="shared" si="3"/>
        <v>4.2028262421977347E-3</v>
      </c>
      <c r="AL10" t="s">
        <v>57</v>
      </c>
      <c r="AM10">
        <v>850</v>
      </c>
      <c r="AN10">
        <v>1</v>
      </c>
      <c r="AO10">
        <f t="shared" si="4"/>
        <v>3.3333333333333335E-5</v>
      </c>
    </row>
    <row r="11" spans="1:41" ht="17" x14ac:dyDescent="0.25">
      <c r="A11" s="2">
        <v>77.790716939397342</v>
      </c>
      <c r="C11">
        <v>20</v>
      </c>
      <c r="D11">
        <f>_xlfn.VAR.S(A2:A21)</f>
        <v>6056.8257636579574</v>
      </c>
      <c r="L11" s="2"/>
      <c r="N11">
        <v>10</v>
      </c>
      <c r="O11" s="2">
        <v>77.790716939397342</v>
      </c>
      <c r="R11" s="7">
        <f t="shared" ca="1" si="0"/>
        <v>0.61426690500083236</v>
      </c>
      <c r="S11" s="7">
        <f t="shared" ca="1" si="1"/>
        <v>2</v>
      </c>
      <c r="T11">
        <f t="shared" ca="1" si="2"/>
        <v>86.751124840047993</v>
      </c>
      <c r="X11" s="2"/>
      <c r="AA11" t="s">
        <v>68</v>
      </c>
      <c r="AB11">
        <f ca="1">ABS(AB2-83.79281746)/83.79281746*100</f>
        <v>19.659312381359104</v>
      </c>
      <c r="AC11">
        <f ca="1">ABS(AC2-96.15188453)/96.15188453*100</f>
        <v>29.188300302489001</v>
      </c>
      <c r="AD11">
        <f ca="1">ABS(AD2-115.0944021)/115.0944021*100</f>
        <v>27.22525653768837</v>
      </c>
      <c r="AE11">
        <f ca="1">ABS(AE2-126.9727096)/126.9727096*100</f>
        <v>15.602733614702261</v>
      </c>
      <c r="AF11">
        <f ca="1">ABS(AF2-133.4605235)/133.4605235*100</f>
        <v>6.132542375167362</v>
      </c>
      <c r="AG11">
        <f ca="1">ABS(AG2-125.5790641)/125.5790641*100</f>
        <v>8.2619898764041793</v>
      </c>
      <c r="AI11">
        <f t="shared" si="5"/>
        <v>90</v>
      </c>
      <c r="AJ11">
        <f t="shared" si="3"/>
        <v>3.8708740091084872E-3</v>
      </c>
    </row>
    <row r="12" spans="1:41" ht="17" x14ac:dyDescent="0.25">
      <c r="A12" s="2">
        <v>135.49374549881296</v>
      </c>
      <c r="C12">
        <v>50</v>
      </c>
      <c r="D12">
        <f>_xlfn.VAR.S(A2:A51)</f>
        <v>9367.290560794072</v>
      </c>
      <c r="L12" s="2"/>
      <c r="N12">
        <v>11</v>
      </c>
      <c r="O12" s="2">
        <v>135.49374549881296</v>
      </c>
      <c r="R12" s="7">
        <f t="shared" ca="1" si="0"/>
        <v>0.46776368028153215</v>
      </c>
      <c r="S12" s="7">
        <f t="shared" ca="1" si="1"/>
        <v>1</v>
      </c>
      <c r="T12">
        <f t="shared" ca="1" si="2"/>
        <v>238.6116743355235</v>
      </c>
      <c r="X12" s="2"/>
      <c r="AA12" t="s">
        <v>69</v>
      </c>
      <c r="AB12">
        <f ca="1">ABS(AB3-7340.040039)/7340.040039*100</f>
        <v>62.613637844089389</v>
      </c>
      <c r="AC12">
        <f ca="1">ABS(AC3-6056.825764)/6056.825764*100</f>
        <v>133.694176350948</v>
      </c>
      <c r="AD12">
        <f ca="1">ABS(AD3-9367.290561)/9367.290561*100</f>
        <v>108.86150587200845</v>
      </c>
      <c r="AE12">
        <f ca="1">ABS(AE3-16932.36919)/16932.36919*100</f>
        <v>30.610574442873546</v>
      </c>
      <c r="AF12">
        <f ca="1">ABS(AF3-18249.18815)/18249.18815*100</f>
        <v>6.5538089412258413</v>
      </c>
      <c r="AG12">
        <f ca="1">ABS(AG3-16553.22012)/16553.22012*100</f>
        <v>5.4356177707712678</v>
      </c>
      <c r="AI12">
        <f t="shared" si="5"/>
        <v>100</v>
      </c>
      <c r="AJ12">
        <f t="shared" si="3"/>
        <v>3.565719235878396E-3</v>
      </c>
    </row>
    <row r="13" spans="1:41" ht="17" x14ac:dyDescent="0.25">
      <c r="A13" s="2">
        <v>6.4003923294621679</v>
      </c>
      <c r="C13">
        <v>100</v>
      </c>
      <c r="D13">
        <f>_xlfn.VAR.S(A2:A101)</f>
        <v>16932.369192567148</v>
      </c>
      <c r="L13" s="2"/>
      <c r="N13">
        <v>12</v>
      </c>
      <c r="O13" s="2">
        <v>6.4003923294621679</v>
      </c>
      <c r="R13" s="7">
        <f t="shared" ca="1" si="0"/>
        <v>0.39360165563499627</v>
      </c>
      <c r="S13" s="7">
        <f t="shared" ca="1" si="1"/>
        <v>1</v>
      </c>
      <c r="T13">
        <f t="shared" ca="1" si="2"/>
        <v>124.91128080456468</v>
      </c>
      <c r="X13" s="2"/>
      <c r="AA13" t="s">
        <v>70</v>
      </c>
      <c r="AB13">
        <f ca="1">ABS(AB4-85.67403363)/85.67403363*100</f>
        <v>27.520052484548696</v>
      </c>
      <c r="AC13">
        <f ca="1">ABS(AC4-77.82561123)/77.82561123*100</f>
        <v>52.870591147239665</v>
      </c>
      <c r="AD13">
        <f ca="1">ABS(AD4-96.78476409)/96.78476409*100</f>
        <v>44.520415822562995</v>
      </c>
      <c r="AE13">
        <f ca="1">ABS(AE4-130.1244373)/130.1244373*100</f>
        <v>14.284983484110233</v>
      </c>
      <c r="AF13">
        <f ca="1">ABS(AF4-135.089556)/135.089556*100</f>
        <v>3.2249044552698862</v>
      </c>
      <c r="AG13">
        <f ca="1">ABS(AG4-128.659318)/128.659318*100</f>
        <v>2.6818473956186826</v>
      </c>
      <c r="AI13">
        <f t="shared" si="5"/>
        <v>110</v>
      </c>
      <c r="AJ13">
        <f t="shared" si="3"/>
        <v>3.2851550317260112E-3</v>
      </c>
    </row>
    <row r="14" spans="1:41" ht="17" x14ac:dyDescent="0.25">
      <c r="A14" s="2">
        <v>74.126156539397641</v>
      </c>
      <c r="C14">
        <v>200</v>
      </c>
      <c r="D14">
        <f>_xlfn.VAR.S(A2:A201)</f>
        <v>18249.18814610751</v>
      </c>
      <c r="L14" s="2"/>
      <c r="N14">
        <v>13</v>
      </c>
      <c r="O14" s="2">
        <v>74.126156539397641</v>
      </c>
      <c r="R14" s="7">
        <f t="shared" ca="1" si="0"/>
        <v>0.50995564670030868</v>
      </c>
      <c r="S14" s="7">
        <f t="shared" ca="1" si="1"/>
        <v>2</v>
      </c>
      <c r="T14">
        <f t="shared" ca="1" si="2"/>
        <v>163.74854095411436</v>
      </c>
      <c r="X14" s="2"/>
      <c r="AA14" t="s">
        <v>71</v>
      </c>
      <c r="AB14">
        <f ca="1">ABS(AB5-1.022450805)/1.022450805*100</f>
        <v>6.5692672758736954</v>
      </c>
      <c r="AC14">
        <f ca="1">ABS(AC5-0.809402869)/0.809402869*100</f>
        <v>18.331606539826687</v>
      </c>
      <c r="AD14">
        <f ca="1">ABS(AD5-0.840916346)/0.840916346*100</f>
        <v>13.594124155733727</v>
      </c>
      <c r="AE14">
        <f ca="1">ABS(AE5-1.024822088)/1.024822088*100</f>
        <v>1.1398953571425945</v>
      </c>
      <c r="AF14">
        <f ca="1">ABS(AF5-1.0122061)/1.0122061*100</f>
        <v>2.739629006983836</v>
      </c>
      <c r="AG14">
        <f ca="1">ABS(AG5-1.024528404)/1.024528404*100</f>
        <v>5.1542952253877141</v>
      </c>
      <c r="AI14">
        <f t="shared" si="5"/>
        <v>120</v>
      </c>
      <c r="AJ14">
        <f t="shared" si="3"/>
        <v>3.0271594687037526E-3</v>
      </c>
    </row>
    <row r="15" spans="1:41" ht="17" x14ac:dyDescent="0.25">
      <c r="A15" s="2">
        <v>27.731342367451433</v>
      </c>
      <c r="C15">
        <v>300</v>
      </c>
      <c r="D15">
        <f>_xlfn.VAR.S(A2:A301)</f>
        <v>16553.220116676108</v>
      </c>
      <c r="L15" s="2"/>
      <c r="N15">
        <v>14</v>
      </c>
      <c r="O15" s="2">
        <v>27.731342367451433</v>
      </c>
      <c r="R15" s="7">
        <f t="shared" ca="1" si="0"/>
        <v>0.38096161978982246</v>
      </c>
      <c r="S15" s="7">
        <f t="shared" ca="1" si="1"/>
        <v>1</v>
      </c>
      <c r="T15">
        <f t="shared" ca="1" si="2"/>
        <v>323.13386986768467</v>
      </c>
      <c r="X15" s="2"/>
      <c r="AA15" t="s">
        <v>72</v>
      </c>
      <c r="AB15">
        <f ca="1">ABS(AB7-44.51299107)/44.51299107*100</f>
        <v>27.520052490124137</v>
      </c>
      <c r="AC15">
        <f ca="1">ABS(AC7-28.59203757)/28.59203757*100</f>
        <v>52.870591156079747</v>
      </c>
      <c r="AD15">
        <f ca="1">ABS(AD7-22.48845176)/22.48845176*100</f>
        <v>44.520415841688973</v>
      </c>
      <c r="AE15">
        <f ca="1">ABS(AE7-21.37944505)/21.37944505*100</f>
        <v>14.284983475503893</v>
      </c>
      <c r="AF15">
        <f ca="1">ABS(AF7-15.69438637)/15.69438637*100</f>
        <v>3.2249044237495168</v>
      </c>
      <c r="AG15">
        <f ca="1">ABS(AG7-12.20444912)/12.20444912*100</f>
        <v>2.6818473624453341</v>
      </c>
      <c r="AI15">
        <f t="shared" si="5"/>
        <v>130</v>
      </c>
      <c r="AJ15">
        <f t="shared" si="3"/>
        <v>2.7898798473145526E-3</v>
      </c>
    </row>
    <row r="16" spans="1:41" ht="17" x14ac:dyDescent="0.25">
      <c r="A16" s="2">
        <v>121.80252559702726</v>
      </c>
      <c r="C16" t="s">
        <v>4</v>
      </c>
      <c r="D16" t="s">
        <v>85</v>
      </c>
      <c r="L16" s="2"/>
      <c r="N16">
        <v>15</v>
      </c>
      <c r="O16" s="2">
        <v>121.80252559702726</v>
      </c>
      <c r="R16" s="7">
        <f t="shared" ca="1" si="0"/>
        <v>0.65882724361010414</v>
      </c>
      <c r="S16" s="7">
        <f t="shared" ca="1" si="1"/>
        <v>2</v>
      </c>
      <c r="T16">
        <f t="shared" ca="1" si="2"/>
        <v>101.63600576820929</v>
      </c>
      <c r="X16" s="2"/>
      <c r="AA16" t="s">
        <v>73</v>
      </c>
      <c r="AB16">
        <f ca="1">ABS(AB8-53.10131619)/53.10131619*100</f>
        <v>27.520052485783108</v>
      </c>
      <c r="AC16">
        <f ca="1">ABS(AC8-34.10857799)/34.10857799*100</f>
        <v>52.870591155070422</v>
      </c>
      <c r="AD16">
        <f ca="1">ABS(AD8-26.8273679)/26.8273679*100</f>
        <v>44.52041580857319</v>
      </c>
      <c r="AE16">
        <f ca="1">ABS(AE8-25.50438972)/25.50438972*100</f>
        <v>14.284983442885105</v>
      </c>
      <c r="AF16">
        <f ca="1">ABS(AF8-18.72245726)/18.72245726*100</f>
        <v>3.2249044473065847</v>
      </c>
      <c r="AG16">
        <f ca="1">ABS(AG8-14.55917241)/14.55917241*100</f>
        <v>2.6818473863550594</v>
      </c>
      <c r="AI16">
        <f t="shared" si="5"/>
        <v>140</v>
      </c>
      <c r="AJ16">
        <f t="shared" si="3"/>
        <v>2.5716183171185037E-3</v>
      </c>
    </row>
    <row r="17" spans="1:36" ht="17" x14ac:dyDescent="0.25">
      <c r="A17" s="2">
        <v>114.83037627393378</v>
      </c>
      <c r="C17">
        <v>10</v>
      </c>
      <c r="D17">
        <f>SQRT(D10)</f>
        <v>85.674033630824994</v>
      </c>
      <c r="L17" s="2"/>
      <c r="N17">
        <v>16</v>
      </c>
      <c r="O17" s="2">
        <v>114.83037627393378</v>
      </c>
      <c r="R17" s="7">
        <f t="shared" ca="1" si="0"/>
        <v>0.16573627158569848</v>
      </c>
      <c r="S17" s="7">
        <f t="shared" ca="1" si="1"/>
        <v>1</v>
      </c>
      <c r="T17">
        <f t="shared" ca="1" si="2"/>
        <v>59.869137172832417</v>
      </c>
      <c r="X17" s="2"/>
      <c r="AA17" t="s">
        <v>74</v>
      </c>
      <c r="AB17">
        <f ca="1">ABS(AB9-69.79030128)/69.79030128*100</f>
        <v>27.520052482650797</v>
      </c>
      <c r="AC17">
        <f ca="1">ABS(AC9-44.82841679)/44.82841679*100</f>
        <v>52.870591144352886</v>
      </c>
      <c r="AD17">
        <f ca="1">ABS(AD9-35.25882638)/35.25882638*100</f>
        <v>44.52041582028415</v>
      </c>
      <c r="AE17">
        <f ca="1">ABS(AE9-33.52005506)/33.52005506*100</f>
        <v>14.284983444833383</v>
      </c>
      <c r="AF17">
        <f ca="1">ABS(AF9-24.60665812)/24.60665812*100</f>
        <v>3.2249044185408757</v>
      </c>
      <c r="AG17">
        <f ca="1">ABS(AG9-19.13491231)/19.13491231*100</f>
        <v>2.6818473878882556</v>
      </c>
      <c r="AI17">
        <f t="shared" si="5"/>
        <v>150</v>
      </c>
      <c r="AJ17">
        <f t="shared" si="3"/>
        <v>2.3708187344881424E-3</v>
      </c>
    </row>
    <row r="18" spans="1:36" ht="17" x14ac:dyDescent="0.25">
      <c r="A18" s="2">
        <v>223.11856007615171</v>
      </c>
      <c r="C18">
        <v>20</v>
      </c>
      <c r="D18">
        <f t="shared" ref="D18:D22" si="6">SQRT(D11)</f>
        <v>77.825611232151317</v>
      </c>
      <c r="L18" s="2"/>
      <c r="N18">
        <v>17</v>
      </c>
      <c r="O18" s="2">
        <v>223.11856007615171</v>
      </c>
      <c r="R18" s="7">
        <f t="shared" ca="1" si="0"/>
        <v>0.8179455873051249</v>
      </c>
      <c r="S18" s="7">
        <f t="shared" ca="1" si="1"/>
        <v>2</v>
      </c>
      <c r="T18">
        <f t="shared" ca="1" si="2"/>
        <v>26.843742392015944</v>
      </c>
      <c r="X18" s="2"/>
      <c r="AI18">
        <f t="shared" si="5"/>
        <v>160</v>
      </c>
      <c r="AJ18">
        <f t="shared" si="3"/>
        <v>2.1860546499992408E-3</v>
      </c>
    </row>
    <row r="19" spans="1:36" ht="17" x14ac:dyDescent="0.25">
      <c r="A19" s="2">
        <v>120.04746548860702</v>
      </c>
      <c r="C19">
        <v>50</v>
      </c>
      <c r="D19">
        <f t="shared" si="6"/>
        <v>96.784764094324643</v>
      </c>
      <c r="L19" s="2"/>
      <c r="N19">
        <v>18</v>
      </c>
      <c r="O19" s="2">
        <v>120.04746548860702</v>
      </c>
      <c r="R19" s="7">
        <f t="shared" ca="1" si="0"/>
        <v>0.11924639226732181</v>
      </c>
      <c r="S19" s="7">
        <f t="shared" ca="1" si="1"/>
        <v>1</v>
      </c>
      <c r="T19">
        <f t="shared" ca="1" si="2"/>
        <v>385.34793528504218</v>
      </c>
      <c r="X19" s="2"/>
      <c r="AI19">
        <f t="shared" si="5"/>
        <v>170</v>
      </c>
      <c r="AJ19">
        <f t="shared" si="3"/>
        <v>2.016018327361565E-3</v>
      </c>
    </row>
    <row r="20" spans="1:36" ht="17" x14ac:dyDescent="0.25">
      <c r="A20" s="2">
        <v>210.23301897494684</v>
      </c>
      <c r="C20">
        <v>100</v>
      </c>
      <c r="D20">
        <f t="shared" si="6"/>
        <v>130.12443733813856</v>
      </c>
      <c r="L20" s="2"/>
      <c r="N20">
        <v>19</v>
      </c>
      <c r="O20" s="2">
        <v>210.23301897494684</v>
      </c>
      <c r="R20" s="7">
        <f t="shared" ca="1" si="0"/>
        <v>0.87912373432888091</v>
      </c>
      <c r="S20" s="7">
        <f t="shared" ca="1" si="1"/>
        <v>2</v>
      </c>
      <c r="T20">
        <f t="shared" ca="1" si="2"/>
        <v>6.1711631532910767</v>
      </c>
      <c r="X20" s="2"/>
      <c r="AI20">
        <f t="shared" si="5"/>
        <v>180</v>
      </c>
      <c r="AJ20">
        <f t="shared" si="3"/>
        <v>1.8595107043816246E-3</v>
      </c>
    </row>
    <row r="21" spans="1:36" ht="17" x14ac:dyDescent="0.25">
      <c r="A21" s="2">
        <v>51.325932805972798</v>
      </c>
      <c r="C21">
        <v>200</v>
      </c>
      <c r="D21">
        <f t="shared" si="6"/>
        <v>135.08955602157965</v>
      </c>
      <c r="L21" s="2"/>
      <c r="N21">
        <v>20</v>
      </c>
      <c r="O21" s="2">
        <v>51.325932805972798</v>
      </c>
      <c r="R21" s="7">
        <f t="shared" ca="1" si="0"/>
        <v>0.22437882156464672</v>
      </c>
      <c r="S21" s="7">
        <f t="shared" ca="1" si="1"/>
        <v>1</v>
      </c>
      <c r="T21">
        <f t="shared" ca="1" si="2"/>
        <v>51.407264953065486</v>
      </c>
      <c r="X21" s="2"/>
      <c r="AI21">
        <f t="shared" si="5"/>
        <v>190</v>
      </c>
      <c r="AJ21">
        <f t="shared" si="3"/>
        <v>1.7154322142804569E-3</v>
      </c>
    </row>
    <row r="22" spans="1:36" ht="17" x14ac:dyDescent="0.25">
      <c r="A22" s="2">
        <v>32.233352360846325</v>
      </c>
      <c r="C22">
        <v>300</v>
      </c>
      <c r="D22">
        <f t="shared" si="6"/>
        <v>128.65931803284249</v>
      </c>
      <c r="L22" s="2"/>
      <c r="N22">
        <v>21</v>
      </c>
      <c r="O22" s="2">
        <v>32.233352360846325</v>
      </c>
      <c r="R22" s="7">
        <f t="shared" ca="1" si="0"/>
        <v>0.87780455086750331</v>
      </c>
      <c r="S22" s="7">
        <f t="shared" ca="1" si="1"/>
        <v>2</v>
      </c>
      <c r="T22">
        <f t="shared" ca="1" si="2"/>
        <v>383.65208782633016</v>
      </c>
      <c r="X22" s="2"/>
      <c r="AI22">
        <f t="shared" si="5"/>
        <v>200</v>
      </c>
      <c r="AJ22">
        <f t="shared" si="3"/>
        <v>1.5827743928310228E-3</v>
      </c>
    </row>
    <row r="23" spans="1:36" ht="17" x14ac:dyDescent="0.25">
      <c r="A23" s="2">
        <v>199.47854130457375</v>
      </c>
      <c r="C23" t="s">
        <v>2</v>
      </c>
      <c r="D23" t="s">
        <v>86</v>
      </c>
      <c r="L23" s="2"/>
      <c r="N23">
        <v>22</v>
      </c>
      <c r="O23" s="2">
        <v>199.47854130457375</v>
      </c>
      <c r="R23" s="7">
        <f t="shared" ca="1" si="0"/>
        <v>0.9511342212428614</v>
      </c>
      <c r="S23" s="7">
        <f t="shared" ca="1" si="1"/>
        <v>2</v>
      </c>
      <c r="T23">
        <f t="shared" ca="1" si="2"/>
        <v>69.816175837652381</v>
      </c>
      <c r="X23" s="2"/>
      <c r="AI23">
        <f t="shared" si="5"/>
        <v>210</v>
      </c>
      <c r="AJ23">
        <f t="shared" si="3"/>
        <v>1.4606122032927191E-3</v>
      </c>
    </row>
    <row r="24" spans="1:36" ht="17" x14ac:dyDescent="0.25">
      <c r="A24" s="2">
        <v>228.15889709876248</v>
      </c>
      <c r="C24">
        <v>10</v>
      </c>
      <c r="D24">
        <f>D17/D3</f>
        <v>1.0224508045940985</v>
      </c>
      <c r="L24" s="2"/>
      <c r="N24">
        <v>23</v>
      </c>
      <c r="O24" s="2">
        <v>228.15889709876248</v>
      </c>
      <c r="R24" s="7">
        <f t="shared" ca="1" si="0"/>
        <v>0.15535369332145188</v>
      </c>
      <c r="S24" s="7">
        <f t="shared" ca="1" si="1"/>
        <v>1</v>
      </c>
      <c r="T24">
        <f t="shared" ca="1" si="2"/>
        <v>205.58925626203498</v>
      </c>
      <c r="X24" s="2"/>
      <c r="AI24">
        <f t="shared" si="5"/>
        <v>220</v>
      </c>
      <c r="AJ24">
        <f t="shared" si="3"/>
        <v>1.3480970170605625E-3</v>
      </c>
    </row>
    <row r="25" spans="1:36" ht="17" x14ac:dyDescent="0.25">
      <c r="A25" s="2">
        <v>332.8365047305067</v>
      </c>
      <c r="C25">
        <v>20</v>
      </c>
      <c r="D25">
        <f t="shared" ref="D25:D28" si="7">D18/D4</f>
        <v>0.80940286937343642</v>
      </c>
      <c r="L25" s="2"/>
      <c r="N25">
        <v>24</v>
      </c>
      <c r="O25" s="2">
        <v>332.8365047305067</v>
      </c>
      <c r="R25" s="7">
        <f t="shared" ca="1" si="0"/>
        <v>0.16238458789592214</v>
      </c>
      <c r="S25" s="7">
        <f t="shared" ca="1" si="1"/>
        <v>1</v>
      </c>
      <c r="T25">
        <f t="shared" ca="1" si="2"/>
        <v>19.414115751923774</v>
      </c>
      <c r="X25" s="2"/>
      <c r="AI25">
        <f t="shared" si="5"/>
        <v>230</v>
      </c>
      <c r="AJ25">
        <f t="shared" si="3"/>
        <v>1.2444501933643491E-3</v>
      </c>
    </row>
    <row r="26" spans="1:36" ht="17" x14ac:dyDescent="0.25">
      <c r="A26" s="2">
        <v>298.39815278538231</v>
      </c>
      <c r="C26">
        <v>50</v>
      </c>
      <c r="D26">
        <f t="shared" si="7"/>
        <v>0.84091634597205389</v>
      </c>
      <c r="L26" s="2"/>
      <c r="N26">
        <v>25</v>
      </c>
      <c r="O26" s="2">
        <v>298.39815278538231</v>
      </c>
      <c r="R26" s="7">
        <f t="shared" ca="1" si="0"/>
        <v>0.42957748857547817</v>
      </c>
      <c r="S26" s="7">
        <f t="shared" ca="1" si="1"/>
        <v>1</v>
      </c>
      <c r="T26">
        <f t="shared" ca="1" si="2"/>
        <v>156.36064580607993</v>
      </c>
      <c r="X26" s="2"/>
      <c r="AI26">
        <f t="shared" si="5"/>
        <v>240</v>
      </c>
      <c r="AJ26">
        <f t="shared" si="3"/>
        <v>1.1489572062947312E-3</v>
      </c>
    </row>
    <row r="27" spans="1:36" ht="17" x14ac:dyDescent="0.25">
      <c r="A27" s="2">
        <v>294.74241928560895</v>
      </c>
      <c r="C27">
        <v>100</v>
      </c>
      <c r="D27">
        <f t="shared" si="7"/>
        <v>1.0248220878557297</v>
      </c>
      <c r="L27" s="2"/>
      <c r="N27">
        <v>26</v>
      </c>
      <c r="O27" s="2">
        <v>294.74241928560895</v>
      </c>
      <c r="R27" s="7">
        <f t="shared" ca="1" si="0"/>
        <v>0.18950390310848175</v>
      </c>
      <c r="S27" s="7">
        <f t="shared" ca="1" si="1"/>
        <v>1</v>
      </c>
      <c r="T27">
        <f t="shared" ca="1" si="2"/>
        <v>200.1525332077407</v>
      </c>
      <c r="X27" s="2"/>
      <c r="AI27">
        <f t="shared" si="5"/>
        <v>250</v>
      </c>
      <c r="AJ27">
        <f t="shared" si="3"/>
        <v>1.0609622719407678E-3</v>
      </c>
    </row>
    <row r="28" spans="1:36" ht="17" x14ac:dyDescent="0.25">
      <c r="A28" s="2">
        <v>140.40012957475173</v>
      </c>
      <c r="C28">
        <v>200</v>
      </c>
      <c r="D28">
        <f t="shared" si="7"/>
        <v>1.0122061003511409</v>
      </c>
      <c r="L28" s="2"/>
      <c r="N28">
        <v>27</v>
      </c>
      <c r="O28" s="2">
        <v>140.40012957475173</v>
      </c>
      <c r="R28" s="7">
        <f t="shared" ca="1" si="0"/>
        <v>0.80171777694621871</v>
      </c>
      <c r="S28" s="7">
        <f t="shared" ca="1" si="1"/>
        <v>2</v>
      </c>
      <c r="T28">
        <f t="shared" ca="1" si="2"/>
        <v>45.924806007923728</v>
      </c>
      <c r="X28" s="2"/>
      <c r="AI28">
        <f t="shared" si="5"/>
        <v>260</v>
      </c>
      <c r="AJ28">
        <f t="shared" si="3"/>
        <v>9.798634325353826E-4</v>
      </c>
    </row>
    <row r="29" spans="1:36" ht="17" x14ac:dyDescent="0.25">
      <c r="A29" s="2">
        <v>283.82086389149845</v>
      </c>
      <c r="C29">
        <v>300</v>
      </c>
      <c r="D29">
        <f>D22/D8</f>
        <v>1.0245284037190832</v>
      </c>
      <c r="L29" s="2"/>
      <c r="N29">
        <v>28</v>
      </c>
      <c r="O29" s="2">
        <v>283.82086389149845</v>
      </c>
      <c r="R29" s="7">
        <f t="shared" ca="1" si="0"/>
        <v>8.7798535601799954E-2</v>
      </c>
      <c r="S29" s="7">
        <f t="shared" ca="1" si="1"/>
        <v>1</v>
      </c>
      <c r="T29">
        <f t="shared" ca="1" si="2"/>
        <v>351.73698434319579</v>
      </c>
      <c r="X29" s="2"/>
      <c r="AI29">
        <f t="shared" si="5"/>
        <v>270</v>
      </c>
      <c r="AJ29">
        <f t="shared" si="3"/>
        <v>9.05108058256292E-4</v>
      </c>
    </row>
    <row r="30" spans="1:36" ht="17" x14ac:dyDescent="0.25">
      <c r="A30" s="2">
        <v>145.55052656247778</v>
      </c>
      <c r="C30" t="s">
        <v>3</v>
      </c>
      <c r="D30" t="s">
        <v>87</v>
      </c>
      <c r="L30" s="2"/>
      <c r="N30">
        <v>29</v>
      </c>
      <c r="O30" s="2">
        <v>145.55052656247778</v>
      </c>
      <c r="R30" s="7">
        <f t="shared" ca="1" si="0"/>
        <v>0.65222632015922599</v>
      </c>
      <c r="S30" s="7">
        <f t="shared" ca="1" si="1"/>
        <v>2</v>
      </c>
      <c r="T30">
        <f t="shared" ca="1" si="2"/>
        <v>14.254274695391114</v>
      </c>
      <c r="X30" s="2"/>
      <c r="AI30">
        <f t="shared" si="5"/>
        <v>280</v>
      </c>
      <c r="AJ30">
        <f t="shared" si="3"/>
        <v>8.3618873075214095E-4</v>
      </c>
    </row>
    <row r="31" spans="1:36" ht="17" x14ac:dyDescent="0.25">
      <c r="A31" s="2">
        <v>120.06199421515824</v>
      </c>
      <c r="D31" t="s">
        <v>5</v>
      </c>
      <c r="E31" t="s">
        <v>88</v>
      </c>
      <c r="L31" s="2"/>
      <c r="N31">
        <v>30</v>
      </c>
      <c r="O31" s="2">
        <v>120.06199421515824</v>
      </c>
      <c r="R31" s="7">
        <f t="shared" ca="1" si="0"/>
        <v>0.76821645551668916</v>
      </c>
      <c r="S31" s="7">
        <f t="shared" ca="1" si="1"/>
        <v>2</v>
      </c>
      <c r="T31">
        <f t="shared" ca="1" si="2"/>
        <v>196.80360426179192</v>
      </c>
      <c r="X31" s="2"/>
      <c r="AI31">
        <f t="shared" si="5"/>
        <v>290</v>
      </c>
      <c r="AJ31">
        <f t="shared" si="3"/>
        <v>7.7263947558584055E-4</v>
      </c>
    </row>
    <row r="32" spans="1:36" ht="17" x14ac:dyDescent="0.25">
      <c r="A32" s="2">
        <v>13.955383317094334</v>
      </c>
      <c r="D32">
        <v>10</v>
      </c>
      <c r="E32">
        <f>SQRT(D10/10)</f>
        <v>27.092508260727232</v>
      </c>
      <c r="L32" s="2"/>
      <c r="N32">
        <v>31</v>
      </c>
      <c r="O32" s="2">
        <v>13.955383317094334</v>
      </c>
      <c r="R32" s="7">
        <f t="shared" ca="1" si="0"/>
        <v>0.67878612099203639</v>
      </c>
      <c r="S32" s="7">
        <f t="shared" ca="1" si="1"/>
        <v>2</v>
      </c>
      <c r="T32">
        <f t="shared" ca="1" si="2"/>
        <v>91.063258326022563</v>
      </c>
      <c r="X32" s="2"/>
      <c r="AI32">
        <f t="shared" si="5"/>
        <v>300</v>
      </c>
      <c r="AJ32">
        <f t="shared" si="3"/>
        <v>7.1403231363589077E-4</v>
      </c>
    </row>
    <row r="33" spans="1:36" ht="17" x14ac:dyDescent="0.25">
      <c r="A33" s="2">
        <v>73.77463676588404</v>
      </c>
      <c r="D33">
        <v>20</v>
      </c>
      <c r="E33">
        <f>SQRT(D11/20)</f>
        <v>17.402335710556152</v>
      </c>
      <c r="L33" s="2"/>
      <c r="N33">
        <v>32</v>
      </c>
      <c r="O33" s="2">
        <v>73.77463676588404</v>
      </c>
      <c r="R33" s="7">
        <f t="shared" ca="1" si="0"/>
        <v>0.54689752840959149</v>
      </c>
      <c r="S33" s="7">
        <f t="shared" ca="1" si="1"/>
        <v>2</v>
      </c>
      <c r="T33">
        <f t="shared" ca="1" si="2"/>
        <v>104.47209333227231</v>
      </c>
      <c r="X33" s="2"/>
      <c r="AI33">
        <f t="shared" si="5"/>
        <v>310</v>
      </c>
      <c r="AJ33">
        <f t="shared" si="3"/>
        <v>6.5997410409586335E-4</v>
      </c>
    </row>
    <row r="34" spans="1:36" ht="17" x14ac:dyDescent="0.25">
      <c r="A34" s="2">
        <v>236.72218414514444</v>
      </c>
      <c r="D34">
        <v>50</v>
      </c>
      <c r="E34">
        <f>SQRT(D12/50)</f>
        <v>13.687432601327448</v>
      </c>
      <c r="L34" s="2"/>
      <c r="N34">
        <v>33</v>
      </c>
      <c r="O34" s="2">
        <v>236.72218414514444</v>
      </c>
      <c r="R34" s="7">
        <f t="shared" ca="1" si="0"/>
        <v>0.47957714583220756</v>
      </c>
      <c r="S34" s="7">
        <f t="shared" ca="1" si="1"/>
        <v>1</v>
      </c>
      <c r="T34">
        <f t="shared" ca="1" si="2"/>
        <v>41.233914275268482</v>
      </c>
      <c r="X34" s="2"/>
      <c r="AI34">
        <f>AI33+10</f>
        <v>320</v>
      </c>
      <c r="AJ34">
        <f t="shared" si="3"/>
        <v>6.101036540842275E-4</v>
      </c>
    </row>
    <row r="35" spans="1:36" ht="17" x14ac:dyDescent="0.25">
      <c r="A35" s="2">
        <v>185.47483409137726</v>
      </c>
      <c r="D35">
        <v>100</v>
      </c>
      <c r="E35">
        <f>SQRT(D13/100)</f>
        <v>13.012443733813855</v>
      </c>
      <c r="L35" s="2"/>
      <c r="N35">
        <v>34</v>
      </c>
      <c r="O35" s="2">
        <v>185.47483409137726</v>
      </c>
      <c r="R35" s="7">
        <f t="shared" ca="1" si="0"/>
        <v>0.76628548583602207</v>
      </c>
      <c r="S35" s="7">
        <f t="shared" ca="1" si="1"/>
        <v>2</v>
      </c>
      <c r="T35">
        <f t="shared" ca="1" si="2"/>
        <v>255.53276243593169</v>
      </c>
      <c r="X35" s="2"/>
      <c r="AI35">
        <f t="shared" si="5"/>
        <v>330</v>
      </c>
      <c r="AJ35">
        <f t="shared" si="3"/>
        <v>5.640890720413058E-4</v>
      </c>
    </row>
    <row r="36" spans="1:36" ht="17" x14ac:dyDescent="0.25">
      <c r="A36" s="2">
        <v>12.806993178656727</v>
      </c>
      <c r="D36">
        <v>200</v>
      </c>
      <c r="E36">
        <f>SQRT(D14/200)</f>
        <v>9.5522741130338993</v>
      </c>
      <c r="L36" s="2"/>
      <c r="N36">
        <v>35</v>
      </c>
      <c r="O36" s="2">
        <v>12.806993178656727</v>
      </c>
      <c r="R36" s="7">
        <f t="shared" ca="1" si="0"/>
        <v>0.94552075420408688</v>
      </c>
      <c r="S36" s="7">
        <f t="shared" ca="1" si="1"/>
        <v>2</v>
      </c>
      <c r="T36">
        <f t="shared" ca="1" si="2"/>
        <v>92.046318707357059</v>
      </c>
      <c r="X36" s="2"/>
      <c r="AI36">
        <f t="shared" si="5"/>
        <v>340</v>
      </c>
      <c r="AJ36">
        <f t="shared" si="3"/>
        <v>5.216253440656261E-4</v>
      </c>
    </row>
    <row r="37" spans="1:36" ht="17" x14ac:dyDescent="0.25">
      <c r="A37" s="2">
        <v>72.69776836450734</v>
      </c>
      <c r="D37">
        <v>300</v>
      </c>
      <c r="E37">
        <f>SQRT(D15/300)</f>
        <v>7.4281491900015286</v>
      </c>
      <c r="L37" s="2"/>
      <c r="N37">
        <v>36</v>
      </c>
      <c r="O37" s="2">
        <v>72.69776836450734</v>
      </c>
      <c r="R37" s="7">
        <f t="shared" ca="1" si="0"/>
        <v>0.36978721241146995</v>
      </c>
      <c r="S37" s="7">
        <f t="shared" ca="1" si="1"/>
        <v>1</v>
      </c>
      <c r="T37">
        <f t="shared" ca="1" si="2"/>
        <v>369.51695204112565</v>
      </c>
      <c r="X37" s="2"/>
      <c r="AI37">
        <f t="shared" si="5"/>
        <v>350</v>
      </c>
      <c r="AJ37">
        <f t="shared" si="3"/>
        <v>4.8243211414491529E-4</v>
      </c>
    </row>
    <row r="38" spans="1:36" ht="17" x14ac:dyDescent="0.25">
      <c r="A38" s="2">
        <v>83.595730990234372</v>
      </c>
      <c r="D38" t="s">
        <v>6</v>
      </c>
      <c r="L38" s="2"/>
      <c r="N38">
        <v>37</v>
      </c>
      <c r="O38" s="2">
        <v>83.595730990234372</v>
      </c>
      <c r="R38" s="7">
        <f t="shared" ca="1" si="0"/>
        <v>0.11051019907559445</v>
      </c>
      <c r="S38" s="7">
        <f t="shared" ca="1" si="1"/>
        <v>1</v>
      </c>
      <c r="T38">
        <f t="shared" ca="1" si="2"/>
        <v>186.78167659962119</v>
      </c>
      <c r="X38" s="2"/>
      <c r="AI38">
        <f t="shared" si="5"/>
        <v>360</v>
      </c>
      <c r="AJ38">
        <f t="shared" si="3"/>
        <v>4.4625165088263224E-4</v>
      </c>
    </row>
    <row r="39" spans="1:36" ht="17" x14ac:dyDescent="0.25">
      <c r="A39" s="2">
        <v>21.099405842331485</v>
      </c>
      <c r="D39">
        <v>10</v>
      </c>
      <c r="E39">
        <v>0.9</v>
      </c>
      <c r="F39">
        <v>1.643</v>
      </c>
      <c r="G39">
        <f>$E$32*F39</f>
        <v>44.512991072374845</v>
      </c>
      <c r="L39" s="2"/>
      <c r="N39">
        <v>38</v>
      </c>
      <c r="O39" s="2">
        <v>21.099405842331485</v>
      </c>
      <c r="R39" s="7">
        <f t="shared" ca="1" si="0"/>
        <v>0.53752050619342773</v>
      </c>
      <c r="S39" s="7">
        <f t="shared" ca="1" si="1"/>
        <v>2</v>
      </c>
      <c r="T39">
        <f t="shared" ca="1" si="2"/>
        <v>201.56725093472292</v>
      </c>
      <c r="X39" s="2"/>
      <c r="AI39">
        <f t="shared" si="5"/>
        <v>370</v>
      </c>
      <c r="AJ39">
        <f t="shared" si="3"/>
        <v>4.1284698482307831E-4</v>
      </c>
    </row>
    <row r="40" spans="1:36" ht="17" x14ac:dyDescent="0.25">
      <c r="A40" s="2">
        <v>65.708805017700399</v>
      </c>
      <c r="E40">
        <v>0.95</v>
      </c>
      <c r="F40">
        <v>1.96</v>
      </c>
      <c r="G40">
        <f>$E$32*F40</f>
        <v>53.101316191025376</v>
      </c>
      <c r="L40" s="2"/>
      <c r="N40">
        <v>39</v>
      </c>
      <c r="O40" s="2">
        <v>65.708805017700399</v>
      </c>
      <c r="R40" s="7">
        <f t="shared" ca="1" si="0"/>
        <v>0.75990261262473491</v>
      </c>
      <c r="S40" s="7">
        <f t="shared" ca="1" si="1"/>
        <v>2</v>
      </c>
      <c r="T40">
        <f t="shared" ca="1" si="2"/>
        <v>270.44403927384445</v>
      </c>
      <c r="X40" s="2"/>
      <c r="AI40">
        <f t="shared" si="5"/>
        <v>380</v>
      </c>
      <c r="AJ40">
        <f t="shared" si="3"/>
        <v>3.820002018493691E-4</v>
      </c>
    </row>
    <row r="41" spans="1:36" ht="17" x14ac:dyDescent="0.25">
      <c r="A41" s="2">
        <v>104.09909035438559</v>
      </c>
      <c r="E41">
        <v>0.99</v>
      </c>
      <c r="F41">
        <v>2.5760000000000001</v>
      </c>
      <c r="G41">
        <f>$E$32*F41</f>
        <v>69.790301279633354</v>
      </c>
      <c r="L41" s="2"/>
      <c r="N41">
        <v>40</v>
      </c>
      <c r="O41" s="2">
        <v>104.09909035438559</v>
      </c>
      <c r="R41" s="7">
        <f t="shared" ca="1" si="0"/>
        <v>0.56549453532385585</v>
      </c>
      <c r="S41" s="7">
        <f t="shared" ca="1" si="1"/>
        <v>2</v>
      </c>
      <c r="T41">
        <f t="shared" ca="1" si="2"/>
        <v>116.30112411759558</v>
      </c>
      <c r="X41" s="2"/>
      <c r="AI41">
        <f t="shared" si="5"/>
        <v>390</v>
      </c>
      <c r="AJ41">
        <f t="shared" si="3"/>
        <v>3.5351087938038245E-4</v>
      </c>
    </row>
    <row r="42" spans="1:36" ht="17" x14ac:dyDescent="0.25">
      <c r="A42" s="2">
        <v>66.382307018718066</v>
      </c>
      <c r="D42">
        <v>20</v>
      </c>
      <c r="E42">
        <v>0.9</v>
      </c>
      <c r="F42">
        <v>1.643</v>
      </c>
      <c r="G42">
        <f>$E$33*F42</f>
        <v>28.592037572443758</v>
      </c>
      <c r="L42" s="2"/>
      <c r="N42">
        <v>41</v>
      </c>
      <c r="O42" s="2">
        <v>66.382307018718066</v>
      </c>
      <c r="R42" s="7">
        <f t="shared" ca="1" si="0"/>
        <v>0.80437445289750409</v>
      </c>
      <c r="S42" s="7">
        <f t="shared" ca="1" si="1"/>
        <v>2</v>
      </c>
      <c r="T42">
        <f t="shared" ca="1" si="2"/>
        <v>53.490834331210813</v>
      </c>
      <c r="X42" s="2"/>
      <c r="AI42">
        <f t="shared" si="5"/>
        <v>400</v>
      </c>
      <c r="AJ42">
        <f t="shared" si="3"/>
        <v>3.2719465323569427E-4</v>
      </c>
    </row>
    <row r="43" spans="1:36" ht="17" x14ac:dyDescent="0.25">
      <c r="A43" s="2">
        <v>11.083082367359944</v>
      </c>
      <c r="E43">
        <v>0.95</v>
      </c>
      <c r="F43">
        <v>1.96</v>
      </c>
      <c r="G43">
        <f t="shared" ref="G43:G44" si="8">$E$33*F43</f>
        <v>34.108577992690059</v>
      </c>
      <c r="L43" s="2"/>
      <c r="N43">
        <v>42</v>
      </c>
      <c r="O43" s="2">
        <v>11.083082367359944</v>
      </c>
      <c r="R43" s="7">
        <f t="shared" ca="1" si="0"/>
        <v>0.84872799543891897</v>
      </c>
      <c r="S43" s="7">
        <f t="shared" ca="1" si="1"/>
        <v>2</v>
      </c>
      <c r="T43">
        <f t="shared" ca="1" si="2"/>
        <v>17.883851502194045</v>
      </c>
      <c r="X43" s="2"/>
      <c r="AI43">
        <f t="shared" si="5"/>
        <v>410</v>
      </c>
      <c r="AJ43">
        <f t="shared" si="3"/>
        <v>3.0288190408103466E-4</v>
      </c>
    </row>
    <row r="44" spans="1:36" ht="17" x14ac:dyDescent="0.25">
      <c r="A44" s="2">
        <v>355.48157518701856</v>
      </c>
      <c r="E44">
        <v>0.99</v>
      </c>
      <c r="F44">
        <v>2.5760000000000001</v>
      </c>
      <c r="G44">
        <f t="shared" si="8"/>
        <v>44.828416790392644</v>
      </c>
      <c r="L44" s="2"/>
      <c r="N44">
        <v>43</v>
      </c>
      <c r="O44" s="2">
        <v>355.48157518701856</v>
      </c>
      <c r="R44" s="7">
        <f t="shared" ca="1" si="0"/>
        <v>0.96635140891621552</v>
      </c>
      <c r="S44" s="7">
        <f t="shared" ca="1" si="1"/>
        <v>2</v>
      </c>
      <c r="T44">
        <f t="shared" ca="1" si="2"/>
        <v>2.0900387419869104</v>
      </c>
      <c r="X44" s="2"/>
      <c r="AI44">
        <f t="shared" si="5"/>
        <v>420</v>
      </c>
      <c r="AJ44">
        <f t="shared" si="3"/>
        <v>2.8041655331963389E-4</v>
      </c>
    </row>
    <row r="45" spans="1:36" ht="17" x14ac:dyDescent="0.25">
      <c r="A45" s="2">
        <v>0.14584900490195477</v>
      </c>
      <c r="D45">
        <v>50</v>
      </c>
      <c r="E45">
        <v>0.9</v>
      </c>
      <c r="F45">
        <v>1.643</v>
      </c>
      <c r="G45">
        <f>F45*$E$34</f>
        <v>22.488451763980997</v>
      </c>
      <c r="L45" s="2"/>
      <c r="N45">
        <v>44</v>
      </c>
      <c r="O45" s="2">
        <v>0.14584900490195477</v>
      </c>
      <c r="R45" s="7">
        <f t="shared" ca="1" si="0"/>
        <v>0.68867229876319425</v>
      </c>
      <c r="S45" s="7">
        <f t="shared" ca="1" si="1"/>
        <v>2</v>
      </c>
      <c r="T45">
        <f t="shared" ca="1" si="2"/>
        <v>147.2628183188173</v>
      </c>
      <c r="X45" s="2"/>
      <c r="AI45">
        <f t="shared" si="5"/>
        <v>430</v>
      </c>
      <c r="AJ45">
        <f t="shared" si="3"/>
        <v>2.5965495916494523E-4</v>
      </c>
    </row>
    <row r="46" spans="1:36" ht="17" x14ac:dyDescent="0.25">
      <c r="A46" s="2">
        <v>97.513958661694176</v>
      </c>
      <c r="E46">
        <v>0.95</v>
      </c>
      <c r="F46">
        <v>1.96</v>
      </c>
      <c r="G46">
        <f t="shared" ref="G46:G47" si="9">F46*$E$34</f>
        <v>26.827367898601796</v>
      </c>
      <c r="L46" s="2"/>
      <c r="N46">
        <v>45</v>
      </c>
      <c r="O46" s="2">
        <v>97.513958661694176</v>
      </c>
      <c r="R46" s="7">
        <f t="shared" ca="1" si="0"/>
        <v>0.43834693172484085</v>
      </c>
      <c r="S46" s="7">
        <f t="shared" ca="1" si="1"/>
        <v>1</v>
      </c>
      <c r="T46">
        <f t="shared" ca="1" si="2"/>
        <v>11.430347612756137</v>
      </c>
      <c r="X46" s="2"/>
      <c r="Y46" s="3"/>
      <c r="Z46" s="8"/>
      <c r="AA46" s="3"/>
      <c r="AI46">
        <f t="shared" si="5"/>
        <v>440</v>
      </c>
      <c r="AJ46">
        <f t="shared" si="3"/>
        <v>2.4046490442485198E-4</v>
      </c>
    </row>
    <row r="47" spans="1:36" ht="17" x14ac:dyDescent="0.25">
      <c r="A47" s="2">
        <v>21.15128116687827</v>
      </c>
      <c r="E47">
        <v>0.99</v>
      </c>
      <c r="F47">
        <v>2.5760000000000001</v>
      </c>
      <c r="G47">
        <f t="shared" si="9"/>
        <v>35.258826381019503</v>
      </c>
      <c r="L47" s="2"/>
      <c r="N47">
        <v>46</v>
      </c>
      <c r="O47" s="2">
        <v>21.15128116687827</v>
      </c>
      <c r="R47" s="7">
        <f t="shared" ca="1" si="0"/>
        <v>0.34365669013416833</v>
      </c>
      <c r="S47" s="7">
        <f t="shared" ca="1" si="1"/>
        <v>1</v>
      </c>
      <c r="T47">
        <f t="shared" ca="1" si="2"/>
        <v>731.60389341966163</v>
      </c>
      <c r="X47" s="2"/>
      <c r="Y47" s="7"/>
      <c r="Z47" s="7"/>
      <c r="AI47">
        <f t="shared" si="5"/>
        <v>450</v>
      </c>
      <c r="AJ47">
        <f t="shared" si="3"/>
        <v>2.2272466825320344E-4</v>
      </c>
    </row>
    <row r="48" spans="1:36" ht="17" x14ac:dyDescent="0.25">
      <c r="A48" s="2">
        <v>143.71783948575757</v>
      </c>
      <c r="D48">
        <v>100</v>
      </c>
      <c r="E48">
        <v>0.9</v>
      </c>
      <c r="F48">
        <v>1.643</v>
      </c>
      <c r="G48">
        <f>F48*$E$35</f>
        <v>21.379445054656163</v>
      </c>
      <c r="L48" s="2"/>
      <c r="N48">
        <v>47</v>
      </c>
      <c r="O48" s="2">
        <v>143.71783948575757</v>
      </c>
      <c r="R48" s="7">
        <f t="shared" ca="1" si="0"/>
        <v>0.70465604234189372</v>
      </c>
      <c r="S48" s="7">
        <f t="shared" ca="1" si="1"/>
        <v>2</v>
      </c>
      <c r="T48">
        <f t="shared" ca="1" si="2"/>
        <v>41.505251099252362</v>
      </c>
      <c r="X48" s="2"/>
      <c r="AI48">
        <f t="shared" si="5"/>
        <v>460</v>
      </c>
      <c r="AJ48">
        <f t="shared" si="3"/>
        <v>2.0632217478739988E-4</v>
      </c>
    </row>
    <row r="49" spans="1:36" ht="17" x14ac:dyDescent="0.25">
      <c r="A49" s="2">
        <v>41.060490809921276</v>
      </c>
      <c r="E49">
        <v>0.95</v>
      </c>
      <c r="F49">
        <v>1.96</v>
      </c>
      <c r="G49">
        <f t="shared" ref="G49:G50" si="10">F49*$E$35</f>
        <v>25.504389718275156</v>
      </c>
      <c r="L49" s="2"/>
      <c r="N49">
        <v>48</v>
      </c>
      <c r="O49" s="2">
        <v>41.060490809921276</v>
      </c>
      <c r="R49" s="7">
        <f t="shared" ca="1" si="0"/>
        <v>3.8407679376881498E-2</v>
      </c>
      <c r="S49" s="7">
        <f t="shared" ca="1" si="1"/>
        <v>1</v>
      </c>
      <c r="T49">
        <f t="shared" ca="1" si="2"/>
        <v>111.43515693908672</v>
      </c>
      <c r="X49" s="2"/>
      <c r="AI49">
        <f t="shared" si="5"/>
        <v>470</v>
      </c>
      <c r="AJ49">
        <f t="shared" si="3"/>
        <v>1.9115421219624779E-4</v>
      </c>
    </row>
    <row r="50" spans="1:36" ht="17" x14ac:dyDescent="0.25">
      <c r="A50" s="2">
        <v>135.65818781794923</v>
      </c>
      <c r="E50">
        <v>0.99</v>
      </c>
      <c r="F50">
        <v>2.5760000000000001</v>
      </c>
      <c r="G50">
        <f t="shared" si="10"/>
        <v>33.520055058304493</v>
      </c>
      <c r="L50" s="2"/>
      <c r="N50">
        <v>49</v>
      </c>
      <c r="O50" s="2">
        <v>135.65818781794923</v>
      </c>
      <c r="R50" s="7">
        <f t="shared" ca="1" si="0"/>
        <v>0.89661807187582943</v>
      </c>
      <c r="S50" s="7">
        <f t="shared" ca="1" si="1"/>
        <v>2</v>
      </c>
      <c r="T50">
        <f t="shared" ca="1" si="2"/>
        <v>195.97841151125084</v>
      </c>
      <c r="X50" s="2"/>
      <c r="AI50">
        <f t="shared" si="5"/>
        <v>480</v>
      </c>
      <c r="AJ50">
        <f t="shared" si="3"/>
        <v>1.7712571621544891E-4</v>
      </c>
    </row>
    <row r="51" spans="1:36" ht="17" x14ac:dyDescent="0.25">
      <c r="A51" s="2">
        <v>13.871631347063044</v>
      </c>
      <c r="D51">
        <v>200</v>
      </c>
      <c r="E51">
        <v>0.9</v>
      </c>
      <c r="F51">
        <v>1.643</v>
      </c>
      <c r="G51">
        <f>F51*$E$36</f>
        <v>15.694386367714698</v>
      </c>
      <c r="L51" s="2"/>
      <c r="N51">
        <v>50</v>
      </c>
      <c r="O51" s="2">
        <v>13.871631347063044</v>
      </c>
      <c r="R51" s="7">
        <f t="shared" ca="1" si="0"/>
        <v>0.14799637258131382</v>
      </c>
      <c r="S51" s="7">
        <f t="shared" ca="1" si="1"/>
        <v>1</v>
      </c>
      <c r="T51">
        <f t="shared" ca="1" si="2"/>
        <v>151.77323242975962</v>
      </c>
      <c r="X51" s="2"/>
      <c r="AI51">
        <f t="shared" si="5"/>
        <v>490</v>
      </c>
      <c r="AJ51">
        <f t="shared" si="3"/>
        <v>1.6414911275343622E-4</v>
      </c>
    </row>
    <row r="52" spans="1:36" ht="17" x14ac:dyDescent="0.25">
      <c r="A52" s="2">
        <v>37.048663114304631</v>
      </c>
      <c r="E52">
        <v>0.95</v>
      </c>
      <c r="F52">
        <v>1.96</v>
      </c>
      <c r="G52">
        <f t="shared" ref="G52:G53" si="11">F52*$E$36</f>
        <v>18.722457261546442</v>
      </c>
      <c r="L52" s="2"/>
      <c r="N52">
        <v>51</v>
      </c>
      <c r="O52" s="2">
        <v>37.048663114304631</v>
      </c>
      <c r="R52" s="7">
        <f t="shared" ca="1" si="0"/>
        <v>0.34911313320056758</v>
      </c>
      <c r="S52" s="7">
        <f t="shared" ca="1" si="1"/>
        <v>1</v>
      </c>
      <c r="T52">
        <f t="shared" ca="1" si="2"/>
        <v>256.73371694230241</v>
      </c>
      <c r="X52" s="2"/>
      <c r="AI52">
        <f t="shared" si="5"/>
        <v>500</v>
      </c>
      <c r="AJ52">
        <f t="shared" si="3"/>
        <v>1.521437146119906E-4</v>
      </c>
    </row>
    <row r="53" spans="1:36" ht="17" x14ac:dyDescent="0.25">
      <c r="A53" s="2">
        <v>135.06522010285985</v>
      </c>
      <c r="E53">
        <v>0.99</v>
      </c>
      <c r="F53">
        <v>2.5760000000000001</v>
      </c>
      <c r="G53">
        <f t="shared" si="11"/>
        <v>24.606658115175325</v>
      </c>
      <c r="L53" s="2"/>
      <c r="N53">
        <v>52</v>
      </c>
      <c r="O53" s="2">
        <v>135.06522010285985</v>
      </c>
      <c r="R53" s="7">
        <f t="shared" ca="1" si="0"/>
        <v>0.27498046188218417</v>
      </c>
      <c r="S53" s="7">
        <f t="shared" ca="1" si="1"/>
        <v>1</v>
      </c>
      <c r="T53">
        <f t="shared" ca="1" si="2"/>
        <v>143.85416189867033</v>
      </c>
      <c r="X53" s="2"/>
      <c r="AI53">
        <f t="shared" si="5"/>
        <v>510</v>
      </c>
      <c r="AJ53">
        <f t="shared" si="3"/>
        <v>1.4103516778797356E-4</v>
      </c>
    </row>
    <row r="54" spans="1:36" ht="17" x14ac:dyDescent="0.25">
      <c r="A54" s="2">
        <v>153.97921341053964</v>
      </c>
      <c r="D54">
        <v>300</v>
      </c>
      <c r="E54">
        <v>0.9</v>
      </c>
      <c r="F54">
        <v>1.643</v>
      </c>
      <c r="G54">
        <f>F54*$E$37</f>
        <v>12.204449119172512</v>
      </c>
      <c r="L54" s="2"/>
      <c r="N54">
        <v>53</v>
      </c>
      <c r="O54" s="2">
        <v>153.97921341053964</v>
      </c>
      <c r="R54" s="7">
        <f t="shared" ca="1" si="0"/>
        <v>0.83830765619627645</v>
      </c>
      <c r="S54" s="7">
        <f t="shared" ca="1" si="1"/>
        <v>2</v>
      </c>
      <c r="T54">
        <f t="shared" ca="1" si="2"/>
        <v>106.16867217455095</v>
      </c>
      <c r="X54" s="2"/>
      <c r="AI54">
        <f>AI53+10</f>
        <v>520</v>
      </c>
      <c r="AJ54">
        <f t="shared" si="3"/>
        <v>1.3075494320805329E-4</v>
      </c>
    </row>
    <row r="55" spans="1:36" ht="17" x14ac:dyDescent="0.25">
      <c r="A55" s="2">
        <v>290.08670842724166</v>
      </c>
      <c r="E55">
        <v>0.95</v>
      </c>
      <c r="F55">
        <v>1.96</v>
      </c>
      <c r="G55">
        <f t="shared" ref="G55:G56" si="12">F55*$E$37</f>
        <v>14.559172412402996</v>
      </c>
      <c r="L55" s="2"/>
      <c r="N55">
        <v>54</v>
      </c>
      <c r="O55" s="2">
        <v>290.08670842724166</v>
      </c>
      <c r="R55" s="7">
        <f t="shared" ca="1" si="0"/>
        <v>0.18288364467303786</v>
      </c>
      <c r="S55" s="7">
        <f t="shared" ca="1" si="1"/>
        <v>1</v>
      </c>
      <c r="T55">
        <f t="shared" ca="1" si="2"/>
        <v>108.10215108390163</v>
      </c>
      <c r="X55" s="2"/>
      <c r="AI55">
        <f t="shared" si="5"/>
        <v>530</v>
      </c>
      <c r="AJ55">
        <f t="shared" si="3"/>
        <v>1.2123987010065159E-4</v>
      </c>
    </row>
    <row r="56" spans="1:36" ht="17" x14ac:dyDescent="0.25">
      <c r="A56" s="2">
        <v>52.282449912907765</v>
      </c>
      <c r="E56">
        <v>0.99</v>
      </c>
      <c r="F56">
        <v>2.5760000000000001</v>
      </c>
      <c r="G56">
        <f t="shared" si="12"/>
        <v>19.134912313443937</v>
      </c>
      <c r="L56" s="2"/>
      <c r="N56">
        <v>55</v>
      </c>
      <c r="O56" s="2">
        <v>52.282449912907765</v>
      </c>
      <c r="R56" s="7">
        <f t="shared" ca="1" si="0"/>
        <v>0.69777256135210086</v>
      </c>
      <c r="S56" s="7">
        <f t="shared" ca="1" si="1"/>
        <v>2</v>
      </c>
      <c r="T56">
        <f t="shared" ca="1" si="2"/>
        <v>384.5469874541372</v>
      </c>
      <c r="X56" s="2"/>
      <c r="AI56">
        <f t="shared" si="5"/>
        <v>540</v>
      </c>
      <c r="AJ56">
        <f t="shared" si="3"/>
        <v>1.1243170753138197E-4</v>
      </c>
    </row>
    <row r="57" spans="1:36" ht="17" x14ac:dyDescent="0.25">
      <c r="A57" s="2">
        <v>64.039922604567948</v>
      </c>
      <c r="C57">
        <v>10</v>
      </c>
      <c r="D57">
        <v>0.9</v>
      </c>
      <c r="E57" s="2">
        <f>D3-G39</f>
        <v>39.279826387274596</v>
      </c>
      <c r="F57" s="2">
        <f>$D$3+G39</f>
        <v>128.30580853202429</v>
      </c>
      <c r="L57" s="2"/>
      <c r="N57">
        <v>56</v>
      </c>
      <c r="O57" s="2">
        <v>64.039922604567948</v>
      </c>
      <c r="R57" s="7">
        <f t="shared" ca="1" si="0"/>
        <v>0.28832609310058921</v>
      </c>
      <c r="S57" s="7">
        <f t="shared" ca="1" si="1"/>
        <v>1</v>
      </c>
      <c r="T57">
        <f t="shared" ca="1" si="2"/>
        <v>306.88887220864751</v>
      </c>
      <c r="X57" s="2"/>
      <c r="AI57">
        <f t="shared" si="5"/>
        <v>550</v>
      </c>
      <c r="AJ57">
        <f t="shared" si="3"/>
        <v>1.0427675092262141E-4</v>
      </c>
    </row>
    <row r="58" spans="1:36" ht="17" x14ac:dyDescent="0.25">
      <c r="A58" s="2">
        <v>63.850946545342296</v>
      </c>
      <c r="D58">
        <v>0.95</v>
      </c>
      <c r="E58" s="2">
        <f>D3-G40</f>
        <v>30.691501268624066</v>
      </c>
      <c r="F58" s="2">
        <f t="shared" ref="F58:F59" si="13">$D$3+G40</f>
        <v>136.8941336506748</v>
      </c>
      <c r="L58" s="2"/>
      <c r="N58">
        <v>57</v>
      </c>
      <c r="O58" s="2">
        <v>63.850946545342296</v>
      </c>
      <c r="R58" s="7">
        <f t="shared" ca="1" si="0"/>
        <v>0.45029569548433734</v>
      </c>
      <c r="S58" s="7">
        <f t="shared" ca="1" si="1"/>
        <v>1</v>
      </c>
      <c r="T58">
        <f t="shared" ca="1" si="2"/>
        <v>48.97011279241309</v>
      </c>
      <c r="X58" s="2"/>
      <c r="AI58">
        <f t="shared" si="5"/>
        <v>560</v>
      </c>
      <c r="AJ58">
        <f t="shared" si="3"/>
        <v>9.6725470646953586E-5</v>
      </c>
    </row>
    <row r="59" spans="1:36" ht="17" x14ac:dyDescent="0.25">
      <c r="A59" s="2">
        <v>133.92007784537458</v>
      </c>
      <c r="D59">
        <v>0.99</v>
      </c>
      <c r="E59" s="2">
        <f>D3-G41</f>
        <v>14.002516180016087</v>
      </c>
      <c r="F59" s="2">
        <f t="shared" si="13"/>
        <v>153.58311873928278</v>
      </c>
      <c r="L59" s="2"/>
      <c r="N59">
        <v>58</v>
      </c>
      <c r="O59" s="2">
        <v>133.92007784537458</v>
      </c>
      <c r="R59" s="7">
        <f t="shared" ca="1" si="0"/>
        <v>0.24178359207039413</v>
      </c>
      <c r="S59" s="7">
        <f t="shared" ca="1" si="1"/>
        <v>1</v>
      </c>
      <c r="T59">
        <f t="shared" ca="1" si="2"/>
        <v>269.28801251101527</v>
      </c>
      <c r="X59" s="2"/>
      <c r="AI59">
        <f t="shared" si="5"/>
        <v>570</v>
      </c>
      <c r="AJ59">
        <f t="shared" si="3"/>
        <v>8.9732180030246557E-5</v>
      </c>
    </row>
    <row r="60" spans="1:36" ht="17" x14ac:dyDescent="0.25">
      <c r="A60" s="2">
        <v>103.56214210024875</v>
      </c>
      <c r="C60">
        <v>20</v>
      </c>
      <c r="D60">
        <v>0.9</v>
      </c>
      <c r="E60" s="2">
        <f>$D$4-G42</f>
        <v>67.559846954969132</v>
      </c>
      <c r="F60" s="2">
        <f>$D$4+G42</f>
        <v>124.74392209985665</v>
      </c>
      <c r="L60" s="2"/>
      <c r="N60">
        <v>59</v>
      </c>
      <c r="O60" s="2">
        <v>103.56214210024875</v>
      </c>
      <c r="R60" s="7">
        <f t="shared" ca="1" si="0"/>
        <v>9.9691026278247885E-2</v>
      </c>
      <c r="S60" s="7">
        <f t="shared" ca="1" si="1"/>
        <v>1</v>
      </c>
      <c r="T60">
        <f t="shared" ca="1" si="2"/>
        <v>36.429051277816278</v>
      </c>
      <c r="X60" s="2"/>
      <c r="AI60">
        <f t="shared" si="5"/>
        <v>580</v>
      </c>
      <c r="AJ60">
        <f t="shared" si="3"/>
        <v>8.3254730325066223E-5</v>
      </c>
    </row>
    <row r="61" spans="1:36" ht="17" x14ac:dyDescent="0.25">
      <c r="A61" s="2">
        <v>47.71871844680112</v>
      </c>
      <c r="D61">
        <v>0.95</v>
      </c>
      <c r="E61" s="2">
        <f t="shared" ref="E61:E62" si="14">$D$4-G43</f>
        <v>62.043306534722831</v>
      </c>
      <c r="F61" s="2">
        <f t="shared" ref="F61:F62" si="15">$D$4+G43</f>
        <v>130.26046252010295</v>
      </c>
      <c r="L61" s="2"/>
      <c r="N61">
        <v>60</v>
      </c>
      <c r="O61" s="2">
        <v>47.71871844680112</v>
      </c>
      <c r="R61" s="7">
        <f t="shared" ca="1" si="0"/>
        <v>0.42663608788544749</v>
      </c>
      <c r="S61" s="7">
        <f t="shared" ca="1" si="1"/>
        <v>1</v>
      </c>
      <c r="T61">
        <f t="shared" ca="1" si="2"/>
        <v>57.198478897031755</v>
      </c>
      <c r="X61" s="2"/>
      <c r="AI61">
        <f t="shared" si="5"/>
        <v>590</v>
      </c>
      <c r="AJ61">
        <f t="shared" si="3"/>
        <v>7.7254230420819634E-5</v>
      </c>
    </row>
    <row r="62" spans="1:36" ht="17" x14ac:dyDescent="0.25">
      <c r="A62" s="2">
        <v>117.28273089107789</v>
      </c>
      <c r="D62">
        <v>0.99</v>
      </c>
      <c r="E62" s="2">
        <f t="shared" si="14"/>
        <v>51.323467737020245</v>
      </c>
      <c r="F62" s="2">
        <f t="shared" si="15"/>
        <v>140.98030131780553</v>
      </c>
      <c r="L62" s="2"/>
      <c r="N62">
        <v>61</v>
      </c>
      <c r="O62" s="2">
        <v>117.28273089107789</v>
      </c>
      <c r="R62" s="7">
        <f t="shared" ca="1" si="0"/>
        <v>0.76347944824054703</v>
      </c>
      <c r="S62" s="7">
        <f t="shared" ca="1" si="1"/>
        <v>2</v>
      </c>
      <c r="T62">
        <f t="shared" ca="1" si="2"/>
        <v>56.681313554295357</v>
      </c>
      <c r="X62" s="2"/>
      <c r="AI62">
        <f t="shared" si="5"/>
        <v>600</v>
      </c>
      <c r="AJ62">
        <f t="shared" si="3"/>
        <v>7.1694789245124315E-5</v>
      </c>
    </row>
    <row r="63" spans="1:36" ht="17" x14ac:dyDescent="0.25">
      <c r="A63" s="2">
        <v>16.608238877616607</v>
      </c>
      <c r="C63">
        <v>50</v>
      </c>
      <c r="D63">
        <v>0.9</v>
      </c>
      <c r="E63" s="2">
        <f>$D$5-G45</f>
        <v>92.605950381867046</v>
      </c>
      <c r="F63" s="2">
        <f>$D$5+G45</f>
        <v>137.58285390982903</v>
      </c>
      <c r="L63" s="2"/>
      <c r="N63">
        <v>62</v>
      </c>
      <c r="O63" s="2">
        <v>16.608238877616607</v>
      </c>
      <c r="R63" s="7">
        <f t="shared" ca="1" si="0"/>
        <v>1.2373254024621638E-2</v>
      </c>
      <c r="S63" s="7">
        <f t="shared" ca="1" si="1"/>
        <v>1</v>
      </c>
      <c r="T63">
        <f t="shared" ca="1" si="2"/>
        <v>113.10163643754393</v>
      </c>
      <c r="X63" s="2"/>
      <c r="AI63">
        <f t="shared" si="5"/>
        <v>610</v>
      </c>
      <c r="AJ63">
        <f t="shared" si="3"/>
        <v>6.654327898293936E-5</v>
      </c>
    </row>
    <row r="64" spans="1:36" ht="17" x14ac:dyDescent="0.25">
      <c r="A64" s="2">
        <v>57.477375125537776</v>
      </c>
      <c r="D64">
        <v>0.95</v>
      </c>
      <c r="E64" s="2">
        <f t="shared" ref="E64:E65" si="16">$D$5-G46</f>
        <v>88.267034247246244</v>
      </c>
      <c r="F64" s="2">
        <f t="shared" ref="F64:F65" si="17">$D$5+G46</f>
        <v>141.92177004444983</v>
      </c>
      <c r="L64" s="2"/>
      <c r="N64">
        <v>63</v>
      </c>
      <c r="O64" s="2">
        <v>57.477375125537776</v>
      </c>
      <c r="R64" s="7">
        <f t="shared" ca="1" si="0"/>
        <v>0.95258983370431172</v>
      </c>
      <c r="S64" s="7">
        <f t="shared" ca="1" si="1"/>
        <v>2</v>
      </c>
      <c r="T64">
        <f t="shared" ca="1" si="2"/>
        <v>31.382685661733912</v>
      </c>
      <c r="X64" s="2"/>
      <c r="AI64">
        <f t="shared" si="5"/>
        <v>620</v>
      </c>
      <c r="AJ64">
        <f t="shared" si="3"/>
        <v>6.1769117397353053E-5</v>
      </c>
    </row>
    <row r="65" spans="1:36" ht="17" x14ac:dyDescent="0.25">
      <c r="A65" s="2">
        <v>29.867589320966673</v>
      </c>
      <c r="D65">
        <v>0.99</v>
      </c>
      <c r="E65" s="2">
        <f t="shared" si="16"/>
        <v>79.835575764828533</v>
      </c>
      <c r="F65" s="2">
        <f t="shared" si="17"/>
        <v>150.35322852686755</v>
      </c>
      <c r="L65" s="2"/>
      <c r="N65">
        <v>64</v>
      </c>
      <c r="O65" s="2">
        <v>29.867589320966673</v>
      </c>
      <c r="R65" s="7">
        <f t="shared" ca="1" si="0"/>
        <v>0.24738211837863411</v>
      </c>
      <c r="S65" s="7">
        <f t="shared" ca="1" si="1"/>
        <v>1</v>
      </c>
      <c r="T65">
        <f t="shared" ca="1" si="2"/>
        <v>25.517716625418011</v>
      </c>
      <c r="X65" s="2"/>
      <c r="AI65">
        <f t="shared" si="5"/>
        <v>630</v>
      </c>
      <c r="AJ65">
        <f t="shared" si="3"/>
        <v>5.7344067679872772E-5</v>
      </c>
    </row>
    <row r="66" spans="1:36" ht="17" x14ac:dyDescent="0.25">
      <c r="A66" s="2">
        <v>192.8171960894359</v>
      </c>
      <c r="C66">
        <v>100</v>
      </c>
      <c r="D66">
        <v>0.9</v>
      </c>
      <c r="E66" s="2">
        <f>$D$6-G48</f>
        <v>105.5932645308704</v>
      </c>
      <c r="F66" s="2">
        <f>$D$6+G48</f>
        <v>148.35215464018273</v>
      </c>
      <c r="L66" s="2"/>
      <c r="N66">
        <v>65</v>
      </c>
      <c r="O66" s="2">
        <v>192.8171960894359</v>
      </c>
      <c r="R66" s="7">
        <f t="shared" ca="1" si="0"/>
        <v>0.41924641462543499</v>
      </c>
      <c r="S66" s="7">
        <f t="shared" ca="1" si="1"/>
        <v>1</v>
      </c>
      <c r="T66">
        <f t="shared" ca="1" si="2"/>
        <v>387.62336291483217</v>
      </c>
      <c r="X66" s="2"/>
      <c r="AI66">
        <f t="shared" si="5"/>
        <v>640</v>
      </c>
      <c r="AJ66">
        <f t="shared" si="3"/>
        <v>5.3242054389758772E-5</v>
      </c>
    </row>
    <row r="67" spans="1:36" ht="17" x14ac:dyDescent="0.25">
      <c r="A67" s="2">
        <v>101.08042279552095</v>
      </c>
      <c r="D67">
        <v>0.95</v>
      </c>
      <c r="E67" s="2">
        <f t="shared" ref="E67:E68" si="18">$D$6-G49</f>
        <v>101.46831986725141</v>
      </c>
      <c r="F67" s="2">
        <f t="shared" ref="F67:F68" si="19">$D$6+G49</f>
        <v>152.47709930380171</v>
      </c>
      <c r="L67" s="2"/>
      <c r="N67">
        <v>66</v>
      </c>
      <c r="O67" s="2">
        <v>101.08042279552095</v>
      </c>
      <c r="R67" s="7">
        <f t="shared" ref="R67:R130" ca="1" si="20">RAND()</f>
        <v>3.7121940165265821E-2</v>
      </c>
      <c r="S67" s="7">
        <f t="shared" ref="S67:S130" ca="1" si="21">IF(R67&lt;$D$170,1,2)</f>
        <v>1</v>
      </c>
      <c r="T67">
        <f t="shared" ref="T67:T130" ca="1" si="22">IF(S67=1,-$D$171*LN(RAND()),-$D$172*LN(RAND()))</f>
        <v>186.77184596136104</v>
      </c>
      <c r="X67" s="2"/>
      <c r="AI67">
        <f t="shared" si="5"/>
        <v>650</v>
      </c>
      <c r="AJ67">
        <f t="shared" ref="AJ67:AJ92" si="23">$D$170/$D$171*EXP(-AI67/$D$171)+(1-$D$170)/$D$172*EXP(-AI67/$D$172)</f>
        <v>4.9438994162439705E-5</v>
      </c>
    </row>
    <row r="68" spans="1:36" ht="17" x14ac:dyDescent="0.25">
      <c r="A68" s="2">
        <v>34.947104110694625</v>
      </c>
      <c r="D68">
        <v>0.99</v>
      </c>
      <c r="E68" s="2">
        <f t="shared" si="18"/>
        <v>93.452654527222066</v>
      </c>
      <c r="F68" s="2">
        <f t="shared" si="19"/>
        <v>160.49276464383104</v>
      </c>
      <c r="L68" s="2"/>
      <c r="N68">
        <v>67</v>
      </c>
      <c r="O68" s="2">
        <v>34.947104110694625</v>
      </c>
      <c r="R68" s="7">
        <f t="shared" ca="1" si="20"/>
        <v>0.40091706696030915</v>
      </c>
      <c r="S68" s="7">
        <f t="shared" ca="1" si="21"/>
        <v>1</v>
      </c>
      <c r="T68">
        <f t="shared" ca="1" si="22"/>
        <v>361.59894115989152</v>
      </c>
      <c r="X68" s="2"/>
      <c r="AI68">
        <f t="shared" ref="AI68:AI92" si="24">AI67+10</f>
        <v>660</v>
      </c>
      <c r="AJ68">
        <f t="shared" si="23"/>
        <v>4.5912639977313443E-5</v>
      </c>
    </row>
    <row r="69" spans="1:36" ht="17" x14ac:dyDescent="0.25">
      <c r="A69" s="2">
        <v>58.338269720887524</v>
      </c>
      <c r="C69">
        <v>200</v>
      </c>
      <c r="D69">
        <v>0.9</v>
      </c>
      <c r="E69" s="2">
        <f>$D$7-G51</f>
        <v>117.76613711136353</v>
      </c>
      <c r="F69" s="2">
        <f>$D$7+G51</f>
        <v>149.15490984679292</v>
      </c>
      <c r="L69" s="2"/>
      <c r="N69">
        <v>68</v>
      </c>
      <c r="O69" s="2">
        <v>58.338269720887524</v>
      </c>
      <c r="R69" s="7">
        <f t="shared" ca="1" si="20"/>
        <v>0.99036513523215919</v>
      </c>
      <c r="S69" s="7">
        <f t="shared" ca="1" si="21"/>
        <v>2</v>
      </c>
      <c r="T69">
        <f t="shared" ca="1" si="22"/>
        <v>150.62877203831812</v>
      </c>
      <c r="X69" s="2"/>
      <c r="AI69">
        <f t="shared" si="24"/>
        <v>670</v>
      </c>
      <c r="AJ69">
        <f t="shared" si="23"/>
        <v>4.2642437876143706E-5</v>
      </c>
    </row>
    <row r="70" spans="1:36" ht="17" x14ac:dyDescent="0.25">
      <c r="A70" s="2">
        <v>13.487805369210943</v>
      </c>
      <c r="D70">
        <v>0.95</v>
      </c>
      <c r="E70" s="2">
        <f>$D$7-G52</f>
        <v>114.7380662175318</v>
      </c>
      <c r="F70" s="2">
        <f t="shared" ref="F70:F71" si="25">$D$7+G52</f>
        <v>152.18298074062469</v>
      </c>
      <c r="L70" s="2"/>
      <c r="N70">
        <v>69</v>
      </c>
      <c r="O70" s="2">
        <v>13.487805369210943</v>
      </c>
      <c r="R70" s="7">
        <f t="shared" ca="1" si="20"/>
        <v>0.68093864183451858</v>
      </c>
      <c r="S70" s="7">
        <f t="shared" ca="1" si="21"/>
        <v>2</v>
      </c>
      <c r="T70">
        <f t="shared" ca="1" si="22"/>
        <v>89.137756378158599</v>
      </c>
      <c r="X70" s="2"/>
      <c r="AI70">
        <f t="shared" si="24"/>
        <v>680</v>
      </c>
      <c r="AJ70">
        <f t="shared" si="23"/>
        <v>3.9609395115624314E-5</v>
      </c>
    </row>
    <row r="71" spans="1:36" ht="17" x14ac:dyDescent="0.25">
      <c r="A71" s="2">
        <v>3.984522505038135</v>
      </c>
      <c r="D71">
        <v>0.99</v>
      </c>
      <c r="E71" s="2">
        <f>$D$7-G53</f>
        <v>108.85386536390291</v>
      </c>
      <c r="F71" s="2">
        <f t="shared" si="25"/>
        <v>158.06718159425355</v>
      </c>
      <c r="L71" s="2"/>
      <c r="N71">
        <v>70</v>
      </c>
      <c r="O71" s="2">
        <v>3.984522505038135</v>
      </c>
      <c r="R71" s="7">
        <f t="shared" ca="1" si="20"/>
        <v>0.6582487576876227</v>
      </c>
      <c r="S71" s="7">
        <f t="shared" ca="1" si="21"/>
        <v>2</v>
      </c>
      <c r="T71">
        <f t="shared" ca="1" si="22"/>
        <v>248.82377885203485</v>
      </c>
      <c r="X71" s="2"/>
      <c r="AI71">
        <f t="shared" si="24"/>
        <v>690</v>
      </c>
      <c r="AJ71">
        <f t="shared" si="23"/>
        <v>3.6795958822224724E-5</v>
      </c>
    </row>
    <row r="72" spans="1:36" ht="17" x14ac:dyDescent="0.25">
      <c r="A72" s="2">
        <v>32.143517832682832</v>
      </c>
      <c r="C72">
        <v>300</v>
      </c>
      <c r="D72">
        <v>0.9</v>
      </c>
      <c r="E72" s="2">
        <f>$D$8-G54</f>
        <v>113.37461493195921</v>
      </c>
      <c r="F72" s="2">
        <f>$D$8+G54</f>
        <v>137.78351317030425</v>
      </c>
      <c r="L72" s="2"/>
      <c r="N72">
        <v>71</v>
      </c>
      <c r="O72" s="2">
        <v>32.143517832682832</v>
      </c>
      <c r="R72" s="7">
        <f t="shared" ca="1" si="20"/>
        <v>0.84129558842751184</v>
      </c>
      <c r="S72" s="7">
        <f t="shared" ca="1" si="21"/>
        <v>2</v>
      </c>
      <c r="T72">
        <f t="shared" ca="1" si="22"/>
        <v>127.18130462621306</v>
      </c>
      <c r="X72" s="2"/>
      <c r="AI72">
        <f t="shared" si="24"/>
        <v>700</v>
      </c>
      <c r="AJ72">
        <f t="shared" si="23"/>
        <v>3.4185904294827034E-5</v>
      </c>
    </row>
    <row r="73" spans="1:36" ht="17" x14ac:dyDescent="0.25">
      <c r="A73" s="2">
        <v>440.43308464903168</v>
      </c>
      <c r="D73">
        <v>0.95</v>
      </c>
      <c r="E73" s="2">
        <f t="shared" ref="E73:E74" si="26">$D$8-G55</f>
        <v>111.01989163872872</v>
      </c>
      <c r="F73" s="2">
        <f t="shared" ref="F73:F74" si="27">$D$8+G55</f>
        <v>140.13823646353472</v>
      </c>
      <c r="L73" s="2"/>
      <c r="N73">
        <v>72</v>
      </c>
      <c r="O73" s="2">
        <v>440.43308464903168</v>
      </c>
      <c r="R73" s="7">
        <f t="shared" ca="1" si="20"/>
        <v>8.5707186576061134E-2</v>
      </c>
      <c r="S73" s="7">
        <f t="shared" ca="1" si="21"/>
        <v>1</v>
      </c>
      <c r="T73">
        <f t="shared" ca="1" si="22"/>
        <v>51.695345226585921</v>
      </c>
      <c r="X73" s="2"/>
      <c r="AI73">
        <f t="shared" si="24"/>
        <v>710</v>
      </c>
      <c r="AJ73">
        <f t="shared" si="23"/>
        <v>3.1764232171528926E-5</v>
      </c>
    </row>
    <row r="74" spans="1:36" ht="17" x14ac:dyDescent="0.25">
      <c r="A74" s="2">
        <v>4.4053371720880419</v>
      </c>
      <c r="D74">
        <v>0.99</v>
      </c>
      <c r="E74" s="2">
        <f t="shared" si="26"/>
        <v>106.44415173768779</v>
      </c>
      <c r="F74" s="2">
        <f t="shared" si="27"/>
        <v>144.71397636457567</v>
      </c>
      <c r="L74" s="2"/>
      <c r="N74">
        <v>73</v>
      </c>
      <c r="O74" s="2">
        <v>4.4053371720880419</v>
      </c>
      <c r="R74" s="7">
        <f t="shared" ca="1" si="20"/>
        <v>6.4698795302829959E-3</v>
      </c>
      <c r="S74" s="7">
        <f t="shared" ca="1" si="21"/>
        <v>1</v>
      </c>
      <c r="T74">
        <f t="shared" ca="1" si="22"/>
        <v>155.58124318780673</v>
      </c>
      <c r="X74" s="2"/>
      <c r="AI74">
        <f t="shared" si="24"/>
        <v>720</v>
      </c>
      <c r="AJ74">
        <f t="shared" si="23"/>
        <v>2.9517073741873683E-5</v>
      </c>
    </row>
    <row r="75" spans="1:36" ht="17" x14ac:dyDescent="0.25">
      <c r="A75" s="2">
        <v>479.72778395515229</v>
      </c>
      <c r="L75" s="2"/>
      <c r="N75">
        <v>74</v>
      </c>
      <c r="O75" s="2">
        <v>479.72778395515229</v>
      </c>
      <c r="R75" s="7">
        <f t="shared" ca="1" si="20"/>
        <v>0.8095782608910127</v>
      </c>
      <c r="S75" s="7">
        <f t="shared" ca="1" si="21"/>
        <v>2</v>
      </c>
      <c r="T75">
        <f t="shared" ca="1" si="22"/>
        <v>26.074152749254182</v>
      </c>
      <c r="X75" s="2"/>
      <c r="AI75">
        <f t="shared" si="24"/>
        <v>730</v>
      </c>
      <c r="AJ75">
        <f t="shared" si="23"/>
        <v>2.7431603745194161E-5</v>
      </c>
    </row>
    <row r="76" spans="1:36" ht="17" x14ac:dyDescent="0.25">
      <c r="A76" s="2">
        <v>26.537620109599104</v>
      </c>
      <c r="C76" t="s">
        <v>7</v>
      </c>
      <c r="D76" t="s">
        <v>89</v>
      </c>
      <c r="L76" s="2"/>
      <c r="N76">
        <v>75</v>
      </c>
      <c r="O76" s="2">
        <v>26.537620109599104</v>
      </c>
      <c r="R76" s="7">
        <f t="shared" ca="1" si="20"/>
        <v>8.1748995629236432E-2</v>
      </c>
      <c r="S76" s="7">
        <f t="shared" ca="1" si="21"/>
        <v>1</v>
      </c>
      <c r="T76">
        <f t="shared" ca="1" si="22"/>
        <v>341.53809213506594</v>
      </c>
      <c r="X76" s="2"/>
      <c r="AI76">
        <f t="shared" si="24"/>
        <v>740</v>
      </c>
      <c r="AJ76">
        <f t="shared" si="23"/>
        <v>2.5495960050184092E-5</v>
      </c>
    </row>
    <row r="77" spans="1:36" ht="17" x14ac:dyDescent="0.25">
      <c r="A77" s="2">
        <v>108.29099899507295</v>
      </c>
      <c r="C77">
        <v>10</v>
      </c>
      <c r="D77">
        <v>0.9</v>
      </c>
      <c r="E77">
        <f>(G39/$D$3)*100</f>
        <v>53.122680943160958</v>
      </c>
      <c r="L77" s="2"/>
      <c r="N77">
        <v>76</v>
      </c>
      <c r="O77" s="2">
        <v>108.29099899507295</v>
      </c>
      <c r="R77" s="7">
        <f t="shared" ca="1" si="20"/>
        <v>0.65811900019883995</v>
      </c>
      <c r="S77" s="7">
        <f t="shared" ca="1" si="21"/>
        <v>2</v>
      </c>
      <c r="T77">
        <f t="shared" ca="1" si="22"/>
        <v>36.23585632373878</v>
      </c>
      <c r="X77" s="2"/>
      <c r="AI77">
        <f t="shared" si="24"/>
        <v>750</v>
      </c>
      <c r="AJ77">
        <f t="shared" si="23"/>
        <v>2.3699169660666007E-5</v>
      </c>
    </row>
    <row r="78" spans="1:36" ht="17" x14ac:dyDescent="0.25">
      <c r="A78" s="2">
        <v>41.805694535796007</v>
      </c>
      <c r="D78">
        <v>0.95</v>
      </c>
      <c r="E78">
        <f t="shared" ref="E78:E79" si="28">(G40/$D$3)*100</f>
        <v>63.372157424586419</v>
      </c>
      <c r="L78" s="2"/>
      <c r="N78">
        <v>77</v>
      </c>
      <c r="O78" s="2">
        <v>41.805694535796007</v>
      </c>
      <c r="R78" s="7">
        <f t="shared" ca="1" si="20"/>
        <v>0.58882265229490005</v>
      </c>
      <c r="S78" s="7">
        <f t="shared" ca="1" si="21"/>
        <v>2</v>
      </c>
      <c r="T78">
        <f t="shared" ca="1" si="22"/>
        <v>84.557157896737664</v>
      </c>
      <c r="X78" s="2"/>
      <c r="AI78">
        <f t="shared" si="24"/>
        <v>760</v>
      </c>
      <c r="AJ78">
        <f t="shared" si="23"/>
        <v>2.2031080538200383E-5</v>
      </c>
    </row>
    <row r="79" spans="1:36" ht="17" x14ac:dyDescent="0.25">
      <c r="A79" s="2">
        <v>20.187252221502867</v>
      </c>
      <c r="D79">
        <v>0.99</v>
      </c>
      <c r="E79">
        <f t="shared" si="28"/>
        <v>83.289121186599289</v>
      </c>
      <c r="L79" s="2"/>
      <c r="N79">
        <v>78</v>
      </c>
      <c r="O79" s="2">
        <v>20.187252221502867</v>
      </c>
      <c r="R79" s="7">
        <f t="shared" ca="1" si="20"/>
        <v>0.17754376643467118</v>
      </c>
      <c r="S79" s="7">
        <f t="shared" ca="1" si="21"/>
        <v>1</v>
      </c>
      <c r="T79">
        <f t="shared" ca="1" si="22"/>
        <v>69.446829957612337</v>
      </c>
      <c r="X79" s="2"/>
      <c r="AI79">
        <f t="shared" si="24"/>
        <v>770</v>
      </c>
      <c r="AJ79">
        <f t="shared" si="23"/>
        <v>2.0482298774029004E-5</v>
      </c>
    </row>
    <row r="80" spans="1:36" ht="17" x14ac:dyDescent="0.25">
      <c r="A80" s="2">
        <v>70.894691482758049</v>
      </c>
      <c r="C80">
        <v>20</v>
      </c>
      <c r="D80">
        <v>0.9</v>
      </c>
      <c r="E80">
        <f>(G42/$D$4)*100</f>
        <v>29.736325723592209</v>
      </c>
      <c r="L80" s="2"/>
      <c r="N80">
        <v>79</v>
      </c>
      <c r="O80" s="2">
        <v>70.894691482758049</v>
      </c>
      <c r="R80" s="7">
        <f t="shared" ca="1" si="20"/>
        <v>0.47558984006537519</v>
      </c>
      <c r="S80" s="7">
        <f t="shared" ca="1" si="21"/>
        <v>1</v>
      </c>
      <c r="T80">
        <f t="shared" ca="1" si="22"/>
        <v>8.7095110611556255</v>
      </c>
      <c r="X80" s="2"/>
      <c r="AI80">
        <f t="shared" si="24"/>
        <v>780</v>
      </c>
      <c r="AJ80">
        <f t="shared" si="23"/>
        <v>1.9044130681194543E-5</v>
      </c>
    </row>
    <row r="81" spans="1:36" ht="17" x14ac:dyDescent="0.25">
      <c r="A81" s="2">
        <v>48.035388096709156</v>
      </c>
      <c r="D81">
        <v>0.95</v>
      </c>
      <c r="E81">
        <f t="shared" ref="E81:E82" si="29">(G43/$D$4)*100</f>
        <v>35.473644807206774</v>
      </c>
      <c r="L81" s="2"/>
      <c r="N81">
        <v>80</v>
      </c>
      <c r="O81" s="2">
        <v>48.035388096709156</v>
      </c>
      <c r="R81" s="7">
        <f t="shared" ca="1" si="20"/>
        <v>0.11999699963112842</v>
      </c>
      <c r="S81" s="7">
        <f t="shared" ca="1" si="21"/>
        <v>1</v>
      </c>
      <c r="T81">
        <f t="shared" ca="1" si="22"/>
        <v>58.191208410178703</v>
      </c>
      <c r="X81" s="2"/>
      <c r="AI81">
        <f t="shared" si="24"/>
        <v>790</v>
      </c>
      <c r="AJ81">
        <f t="shared" si="23"/>
        <v>1.7708529412824571E-5</v>
      </c>
    </row>
    <row r="82" spans="1:36" ht="17" x14ac:dyDescent="0.25">
      <c r="A82" s="2">
        <v>273.348240695821</v>
      </c>
      <c r="D82">
        <v>0.99</v>
      </c>
      <c r="E82">
        <f t="shared" si="29"/>
        <v>46.622504603757477</v>
      </c>
      <c r="L82" s="2"/>
      <c r="N82">
        <v>81</v>
      </c>
      <c r="O82" s="2">
        <v>273.348240695821</v>
      </c>
      <c r="R82" s="7">
        <f t="shared" ca="1" si="20"/>
        <v>0.44658694709493074</v>
      </c>
      <c r="S82" s="7">
        <f t="shared" ca="1" si="21"/>
        <v>1</v>
      </c>
      <c r="T82">
        <f t="shared" ca="1" si="22"/>
        <v>53.086746416404047</v>
      </c>
      <c r="X82" s="2"/>
      <c r="AI82">
        <f t="shared" si="24"/>
        <v>800</v>
      </c>
      <c r="AJ82">
        <f t="shared" si="23"/>
        <v>1.64680457447815E-5</v>
      </c>
    </row>
    <row r="83" spans="1:36" ht="17" x14ac:dyDescent="0.25">
      <c r="A83" s="2">
        <v>206.96623707182874</v>
      </c>
      <c r="C83">
        <v>50</v>
      </c>
      <c r="D83">
        <v>0.9</v>
      </c>
      <c r="E83">
        <f>(G45/$D$5)*100</f>
        <v>19.539136000275278</v>
      </c>
      <c r="L83" s="2"/>
      <c r="N83">
        <v>82</v>
      </c>
      <c r="O83" s="2">
        <v>206.96623707182874</v>
      </c>
      <c r="R83" s="7">
        <f t="shared" ca="1" si="20"/>
        <v>0.60465258753430728</v>
      </c>
      <c r="S83" s="7">
        <f t="shared" ca="1" si="21"/>
        <v>2</v>
      </c>
      <c r="T83">
        <f t="shared" ca="1" si="22"/>
        <v>80.037890762170534</v>
      </c>
      <c r="X83" s="2"/>
      <c r="AI83">
        <f t="shared" si="24"/>
        <v>810</v>
      </c>
      <c r="AJ83">
        <f t="shared" si="23"/>
        <v>1.5315782690412585E-5</v>
      </c>
    </row>
    <row r="84" spans="1:36" ht="17" x14ac:dyDescent="0.25">
      <c r="A84" s="2">
        <v>145.52540758693672</v>
      </c>
      <c r="D84">
        <v>0.95</v>
      </c>
      <c r="E84">
        <f t="shared" ref="E84:E85" si="30">(G46/$D$5)*100</f>
        <v>23.309011905380125</v>
      </c>
      <c r="L84" s="2"/>
      <c r="N84">
        <v>83</v>
      </c>
      <c r="O84" s="2">
        <v>145.52540758693672</v>
      </c>
      <c r="R84" s="7">
        <f t="shared" ca="1" si="20"/>
        <v>0.81919152732393008</v>
      </c>
      <c r="S84" s="7">
        <f t="shared" ca="1" si="21"/>
        <v>2</v>
      </c>
      <c r="T84">
        <f t="shared" ca="1" si="22"/>
        <v>46.667877016817009</v>
      </c>
      <c r="X84" s="2"/>
      <c r="AI84">
        <f t="shared" si="24"/>
        <v>820</v>
      </c>
      <c r="AJ84">
        <f t="shared" si="23"/>
        <v>1.4245353642208411E-5</v>
      </c>
    </row>
    <row r="85" spans="1:36" ht="17" x14ac:dyDescent="0.25">
      <c r="A85" s="2">
        <v>6.7535028140533315</v>
      </c>
      <c r="D85">
        <v>0.99</v>
      </c>
      <c r="E85">
        <f t="shared" si="30"/>
        <v>30.634701361356736</v>
      </c>
      <c r="L85" s="2"/>
      <c r="N85">
        <v>84</v>
      </c>
      <c r="O85" s="2">
        <v>6.7535028140533315</v>
      </c>
      <c r="R85" s="7">
        <f t="shared" ca="1" si="20"/>
        <v>0.86314326709413092</v>
      </c>
      <c r="S85" s="7">
        <f t="shared" ca="1" si="21"/>
        <v>2</v>
      </c>
      <c r="T85">
        <f t="shared" ca="1" si="22"/>
        <v>142.3844053039015</v>
      </c>
      <c r="X85" s="2"/>
      <c r="AI85">
        <f t="shared" si="24"/>
        <v>830</v>
      </c>
      <c r="AJ85">
        <f t="shared" si="23"/>
        <v>1.3250843760006048E-5</v>
      </c>
    </row>
    <row r="86" spans="1:36" ht="17" x14ac:dyDescent="0.25">
      <c r="A86" s="2">
        <v>887.03667265792683</v>
      </c>
      <c r="C86">
        <v>100</v>
      </c>
      <c r="D86">
        <v>0.9</v>
      </c>
      <c r="E86">
        <f>(G48/D6)*100</f>
        <v>16.837826903469637</v>
      </c>
      <c r="L86" s="2"/>
      <c r="N86">
        <v>85</v>
      </c>
      <c r="O86" s="2">
        <v>887.03667265792683</v>
      </c>
      <c r="R86" s="7">
        <f t="shared" ca="1" si="20"/>
        <v>0.17209992857333134</v>
      </c>
      <c r="S86" s="7">
        <f t="shared" ca="1" si="21"/>
        <v>1</v>
      </c>
      <c r="T86">
        <f t="shared" ca="1" si="22"/>
        <v>296.89509131938792</v>
      </c>
      <c r="X86" s="2"/>
      <c r="AI86">
        <f t="shared" si="24"/>
        <v>840</v>
      </c>
      <c r="AJ86">
        <f t="shared" si="23"/>
        <v>1.2326774348141157E-5</v>
      </c>
    </row>
    <row r="87" spans="1:36" ht="17" x14ac:dyDescent="0.25">
      <c r="A87" s="2">
        <v>106.43023601456667</v>
      </c>
      <c r="D87">
        <v>0.95</v>
      </c>
      <c r="E87">
        <f t="shared" ref="E87:E88" si="31">(G49/D7)*100</f>
        <v>19.110062701255114</v>
      </c>
      <c r="L87" s="2"/>
      <c r="N87">
        <v>86</v>
      </c>
      <c r="O87" s="2">
        <v>106.43023601456667</v>
      </c>
      <c r="R87" s="7">
        <f t="shared" ca="1" si="20"/>
        <v>0.61234802044584835</v>
      </c>
      <c r="S87" s="7">
        <f t="shared" ca="1" si="21"/>
        <v>2</v>
      </c>
      <c r="T87">
        <f t="shared" ca="1" si="22"/>
        <v>14.391511117753204</v>
      </c>
      <c r="X87" s="2"/>
      <c r="AI87">
        <f t="shared" si="24"/>
        <v>850</v>
      </c>
      <c r="AJ87">
        <f t="shared" si="23"/>
        <v>1.1468069984836461E-5</v>
      </c>
    </row>
    <row r="88" spans="1:36" ht="17" x14ac:dyDescent="0.25">
      <c r="A88" s="2">
        <v>27.323703540923105</v>
      </c>
      <c r="D88">
        <v>0.99</v>
      </c>
      <c r="E88">
        <f t="shared" si="31"/>
        <v>26.692391213121493</v>
      </c>
      <c r="L88" s="2"/>
      <c r="N88">
        <v>87</v>
      </c>
      <c r="O88" s="2">
        <v>27.323703540923105</v>
      </c>
      <c r="R88" s="7">
        <f t="shared" ca="1" si="20"/>
        <v>0.91236663335384061</v>
      </c>
      <c r="S88" s="7">
        <f t="shared" ca="1" si="21"/>
        <v>2</v>
      </c>
      <c r="T88">
        <f t="shared" ca="1" si="22"/>
        <v>32.024055712525758</v>
      </c>
      <c r="X88" s="2"/>
      <c r="AI88">
        <f t="shared" si="24"/>
        <v>860</v>
      </c>
      <c r="AJ88">
        <f t="shared" si="23"/>
        <v>1.0670028186271432E-5</v>
      </c>
    </row>
    <row r="89" spans="1:36" ht="17" x14ac:dyDescent="0.25">
      <c r="A89" s="2">
        <v>281.81907283169147</v>
      </c>
      <c r="C89">
        <v>200</v>
      </c>
      <c r="D89">
        <v>0.9</v>
      </c>
      <c r="E89">
        <f>(G51/$D$7)*100</f>
        <v>11.759572013199101</v>
      </c>
      <c r="L89" s="2"/>
      <c r="N89">
        <v>88</v>
      </c>
      <c r="O89" s="2">
        <v>281.81907283169147</v>
      </c>
      <c r="R89" s="7">
        <f t="shared" ca="1" si="20"/>
        <v>0.26299233321596882</v>
      </c>
      <c r="S89" s="7">
        <f t="shared" ca="1" si="21"/>
        <v>1</v>
      </c>
      <c r="T89">
        <f t="shared" ca="1" si="22"/>
        <v>101.48343112503375</v>
      </c>
      <c r="X89" s="2"/>
      <c r="AI89">
        <f t="shared" si="24"/>
        <v>870</v>
      </c>
      <c r="AJ89">
        <f t="shared" si="23"/>
        <v>9.9282914053533088E-6</v>
      </c>
    </row>
    <row r="90" spans="1:36" ht="17" x14ac:dyDescent="0.25">
      <c r="A90" s="2">
        <v>20.662492106188036</v>
      </c>
      <c r="D90">
        <v>0.95</v>
      </c>
      <c r="E90">
        <f t="shared" ref="E90:E91" si="32">(G52/$D$7)*100</f>
        <v>14.028460831326983</v>
      </c>
      <c r="L90" s="2"/>
      <c r="N90">
        <v>89</v>
      </c>
      <c r="O90" s="2">
        <v>20.662492106188036</v>
      </c>
      <c r="R90" s="7">
        <f t="shared" ca="1" si="20"/>
        <v>0.14956488100557896</v>
      </c>
      <c r="S90" s="7">
        <f t="shared" ca="1" si="21"/>
        <v>1</v>
      </c>
      <c r="T90">
        <f t="shared" ca="1" si="22"/>
        <v>261.7772577507385</v>
      </c>
      <c r="X90" s="2"/>
      <c r="AI90">
        <f t="shared" si="24"/>
        <v>880</v>
      </c>
      <c r="AJ90">
        <f t="shared" si="23"/>
        <v>9.2388211813372665E-6</v>
      </c>
    </row>
    <row r="91" spans="1:36" ht="17" x14ac:dyDescent="0.25">
      <c r="A91" s="2">
        <v>131.95690619816668</v>
      </c>
      <c r="D91">
        <v>0.99</v>
      </c>
      <c r="E91">
        <f t="shared" si="32"/>
        <v>18.43740566402975</v>
      </c>
      <c r="L91" s="2"/>
      <c r="N91">
        <v>90</v>
      </c>
      <c r="O91" s="2">
        <v>131.95690619816668</v>
      </c>
      <c r="R91" s="7">
        <f t="shared" ca="1" si="20"/>
        <v>0.15837965326991565</v>
      </c>
      <c r="S91" s="7">
        <f t="shared" ca="1" si="21"/>
        <v>1</v>
      </c>
      <c r="T91">
        <f t="shared" ca="1" si="22"/>
        <v>162.23099837944113</v>
      </c>
      <c r="X91" s="2"/>
      <c r="AI91">
        <f t="shared" si="24"/>
        <v>890</v>
      </c>
      <c r="AJ91">
        <f t="shared" si="23"/>
        <v>8.597874271243875E-6</v>
      </c>
    </row>
    <row r="92" spans="1:36" ht="17" x14ac:dyDescent="0.25">
      <c r="A92" s="2">
        <v>195.96238752893316</v>
      </c>
      <c r="C92">
        <v>300</v>
      </c>
      <c r="D92">
        <v>0.9</v>
      </c>
      <c r="E92">
        <f>(G54/$D$8)*100</f>
        <v>9.7185380472363256</v>
      </c>
      <c r="L92" s="2"/>
      <c r="N92">
        <v>91</v>
      </c>
      <c r="O92" s="2">
        <v>195.96238752893316</v>
      </c>
      <c r="R92" s="7">
        <f t="shared" ca="1" si="20"/>
        <v>2.6796456636968058E-2</v>
      </c>
      <c r="S92" s="7">
        <f t="shared" ca="1" si="21"/>
        <v>1</v>
      </c>
      <c r="T92">
        <f t="shared" ca="1" si="22"/>
        <v>50.353193311462121</v>
      </c>
      <c r="X92" s="2"/>
      <c r="AI92">
        <f t="shared" si="24"/>
        <v>900</v>
      </c>
      <c r="AJ92">
        <f t="shared" si="23"/>
        <v>8.0019806076063751E-6</v>
      </c>
    </row>
    <row r="93" spans="1:36" ht="17" x14ac:dyDescent="0.25">
      <c r="A93" s="2">
        <v>75.680076313249927</v>
      </c>
      <c r="D93">
        <v>0.95</v>
      </c>
      <c r="E93">
        <f t="shared" ref="E93:E94" si="33">(G55/$D$8)*100</f>
        <v>11.593630293720752</v>
      </c>
      <c r="L93" s="2"/>
      <c r="N93">
        <v>92</v>
      </c>
      <c r="O93" s="2">
        <v>75.680076313249927</v>
      </c>
      <c r="R93" s="7">
        <f t="shared" ca="1" si="20"/>
        <v>6.586050799849974E-2</v>
      </c>
      <c r="S93" s="7">
        <f t="shared" ca="1" si="21"/>
        <v>1</v>
      </c>
      <c r="T93">
        <f t="shared" ca="1" si="22"/>
        <v>24.887181029329</v>
      </c>
      <c r="X93" s="2"/>
    </row>
    <row r="94" spans="1:36" ht="17" x14ac:dyDescent="0.25">
      <c r="A94" s="2">
        <v>229.0606664787428</v>
      </c>
      <c r="D94">
        <v>0.99</v>
      </c>
      <c r="E94">
        <f t="shared" si="33"/>
        <v>15.237342671747275</v>
      </c>
      <c r="L94" s="2"/>
      <c r="N94">
        <v>93</v>
      </c>
      <c r="O94" s="2">
        <v>229.0606664787428</v>
      </c>
      <c r="R94" s="7">
        <f t="shared" ca="1" si="20"/>
        <v>0.49300145888101088</v>
      </c>
      <c r="S94" s="7">
        <f t="shared" ca="1" si="21"/>
        <v>2</v>
      </c>
      <c r="T94">
        <f t="shared" ca="1" si="22"/>
        <v>338.04229690641654</v>
      </c>
      <c r="X94" s="2"/>
    </row>
    <row r="95" spans="1:36" ht="17" x14ac:dyDescent="0.25">
      <c r="A95" s="2">
        <v>130.06575845661058</v>
      </c>
      <c r="L95" s="2"/>
      <c r="N95">
        <v>94</v>
      </c>
      <c r="O95" s="2">
        <v>130.06575845661058</v>
      </c>
      <c r="R95" s="7">
        <f t="shared" ca="1" si="20"/>
        <v>6.2291850199064136E-2</v>
      </c>
      <c r="S95" s="7">
        <f t="shared" ca="1" si="21"/>
        <v>1</v>
      </c>
      <c r="T95">
        <f t="shared" ca="1" si="22"/>
        <v>23.672091933808801</v>
      </c>
      <c r="X95" s="2"/>
    </row>
    <row r="96" spans="1:36" ht="17" x14ac:dyDescent="0.25">
      <c r="A96" s="2">
        <v>129.03673043070847</v>
      </c>
      <c r="L96" s="2"/>
      <c r="N96">
        <v>95</v>
      </c>
      <c r="O96" s="2">
        <v>129.03673043070847</v>
      </c>
      <c r="R96" s="7">
        <f t="shared" ca="1" si="20"/>
        <v>0.10964818121412601</v>
      </c>
      <c r="S96" s="7">
        <f t="shared" ca="1" si="21"/>
        <v>1</v>
      </c>
      <c r="T96">
        <f t="shared" ca="1" si="22"/>
        <v>80.710620024163305</v>
      </c>
      <c r="X96" s="2"/>
    </row>
    <row r="97" spans="1:45" ht="17" x14ac:dyDescent="0.25">
      <c r="A97" s="2">
        <v>433.77127678317828</v>
      </c>
      <c r="L97" s="2"/>
      <c r="N97">
        <v>96</v>
      </c>
      <c r="O97" s="2">
        <v>433.77127678317828</v>
      </c>
      <c r="R97" s="7">
        <f t="shared" ca="1" si="20"/>
        <v>9.0001089323498928E-2</v>
      </c>
      <c r="S97" s="7">
        <f t="shared" ca="1" si="21"/>
        <v>1</v>
      </c>
      <c r="T97">
        <f t="shared" ca="1" si="22"/>
        <v>203.3548248279493</v>
      </c>
      <c r="X97" s="2"/>
    </row>
    <row r="98" spans="1:45" ht="17" x14ac:dyDescent="0.25">
      <c r="A98" s="2">
        <v>220.5553667373203</v>
      </c>
      <c r="B98" s="4" t="s">
        <v>9</v>
      </c>
      <c r="C98" s="4" t="s">
        <v>10</v>
      </c>
      <c r="D98" s="4"/>
      <c r="E98" s="4"/>
      <c r="F98" s="4"/>
      <c r="G98" s="4"/>
      <c r="H98" s="4"/>
      <c r="I98" s="4"/>
      <c r="J98" s="4"/>
      <c r="K98" s="4"/>
      <c r="L98" s="5"/>
      <c r="M98" s="4"/>
      <c r="N98">
        <v>97</v>
      </c>
      <c r="O98" s="2">
        <v>220.5553667373203</v>
      </c>
      <c r="R98" s="7">
        <f t="shared" ca="1" si="20"/>
        <v>0.12627782906198992</v>
      </c>
      <c r="S98" s="7">
        <f t="shared" ca="1" si="21"/>
        <v>1</v>
      </c>
      <c r="T98">
        <f t="shared" ca="1" si="22"/>
        <v>76.160995957433727</v>
      </c>
      <c r="X98" s="2"/>
    </row>
    <row r="99" spans="1:45" ht="17" x14ac:dyDescent="0.25">
      <c r="A99" s="2">
        <v>214.19503008776275</v>
      </c>
      <c r="L99" s="2"/>
      <c r="N99">
        <v>98</v>
      </c>
      <c r="O99" s="2">
        <v>214.19503008776275</v>
      </c>
      <c r="R99" s="7">
        <f t="shared" ca="1" si="20"/>
        <v>0.71406464688753524</v>
      </c>
      <c r="S99" s="7">
        <f t="shared" ca="1" si="21"/>
        <v>2</v>
      </c>
      <c r="T99">
        <f t="shared" ca="1" si="22"/>
        <v>935.31551176605069</v>
      </c>
      <c r="X99" s="2"/>
    </row>
    <row r="100" spans="1:45" ht="17" x14ac:dyDescent="0.25">
      <c r="A100" s="2">
        <v>90.509238842225287</v>
      </c>
      <c r="L100" s="2"/>
      <c r="N100">
        <v>99</v>
      </c>
      <c r="O100" s="2">
        <v>90.509238842225287</v>
      </c>
      <c r="R100" s="7">
        <f t="shared" ca="1" si="20"/>
        <v>0.52450753675475437</v>
      </c>
      <c r="S100" s="7">
        <f t="shared" ca="1" si="21"/>
        <v>2</v>
      </c>
      <c r="T100">
        <f t="shared" ca="1" si="22"/>
        <v>33.21273838624937</v>
      </c>
      <c r="X100" s="2"/>
      <c r="AJ100">
        <v>1</v>
      </c>
      <c r="AK100">
        <v>2</v>
      </c>
      <c r="AL100">
        <v>3</v>
      </c>
      <c r="AM100">
        <v>4</v>
      </c>
      <c r="AN100">
        <v>5</v>
      </c>
      <c r="AO100">
        <v>6</v>
      </c>
      <c r="AP100">
        <v>7</v>
      </c>
      <c r="AQ100">
        <v>8</v>
      </c>
      <c r="AR100">
        <v>9</v>
      </c>
      <c r="AS100">
        <v>10</v>
      </c>
    </row>
    <row r="101" spans="1:45" ht="17" x14ac:dyDescent="0.25">
      <c r="A101" s="2">
        <v>155.98516171684633</v>
      </c>
      <c r="L101" s="2"/>
      <c r="N101">
        <v>100</v>
      </c>
      <c r="O101" s="2">
        <v>155.98516171684633</v>
      </c>
      <c r="R101" s="7">
        <f t="shared" ca="1" si="20"/>
        <v>0.73289234519687219</v>
      </c>
      <c r="S101" s="7">
        <f t="shared" ca="1" si="21"/>
        <v>2</v>
      </c>
      <c r="T101">
        <f t="shared" ca="1" si="22"/>
        <v>71.587460168107597</v>
      </c>
      <c r="X101" s="2"/>
      <c r="AI101" t="s">
        <v>81</v>
      </c>
      <c r="AJ101">
        <f>D126</f>
        <v>4.9547652154041402E-2</v>
      </c>
      <c r="AK101">
        <f>D127</f>
        <v>7.2271275762273768E-2</v>
      </c>
      <c r="AL101">
        <f>D128</f>
        <v>7.7370704147236388E-2</v>
      </c>
      <c r="AM101">
        <f>D129</f>
        <v>4.0334078113071881E-2</v>
      </c>
      <c r="AN101">
        <f>D130</f>
        <v>-3.3666611226996088E-2</v>
      </c>
      <c r="AO101">
        <f>D131</f>
        <v>-2.5852526101782666E-2</v>
      </c>
      <c r="AP101">
        <f>D132</f>
        <v>4.8339630111033871E-2</v>
      </c>
      <c r="AQ101">
        <f>D133</f>
        <v>-7.831502651547733E-3</v>
      </c>
      <c r="AR101">
        <f>D134</f>
        <v>5.8799324717819249E-2</v>
      </c>
      <c r="AS101">
        <f>D135</f>
        <v>-1.4251608100099003E-2</v>
      </c>
    </row>
    <row r="102" spans="1:45" ht="17" x14ac:dyDescent="0.25">
      <c r="A102" s="2">
        <v>36.849892720416953</v>
      </c>
      <c r="L102" s="2"/>
      <c r="N102">
        <v>101</v>
      </c>
      <c r="O102" s="2">
        <v>36.849892720416953</v>
      </c>
      <c r="R102" s="7">
        <f t="shared" ca="1" si="20"/>
        <v>0.89001055298650222</v>
      </c>
      <c r="S102" s="7">
        <f t="shared" ca="1" si="21"/>
        <v>2</v>
      </c>
      <c r="T102">
        <f t="shared" ca="1" si="22"/>
        <v>189.11094485493743</v>
      </c>
      <c r="X102" s="2"/>
      <c r="AI102" t="s">
        <v>82</v>
      </c>
      <c r="AJ102">
        <f ca="1">D182</f>
        <v>-3.7329173747132835E-2</v>
      </c>
      <c r="AK102">
        <f ca="1">D183</f>
        <v>-4.1267536369905856E-2</v>
      </c>
      <c r="AL102">
        <f ca="1">D184</f>
        <v>3.3983548844692374E-2</v>
      </c>
      <c r="AM102">
        <f ca="1">D185</f>
        <v>2.3825719422926696E-2</v>
      </c>
      <c r="AN102">
        <f ca="1">D186</f>
        <v>4.0031876916833811E-2</v>
      </c>
      <c r="AO102">
        <f ca="1">D187</f>
        <v>-0.12672982042189068</v>
      </c>
      <c r="AP102">
        <f ca="1">D188</f>
        <v>1.3347863878834507E-2</v>
      </c>
      <c r="AQ102">
        <f ca="1">D189</f>
        <v>-4.7889982903368634E-2</v>
      </c>
      <c r="AR102">
        <f ca="1">D190</f>
        <v>9.3872518007754781E-3</v>
      </c>
      <c r="AS102">
        <f ca="1">D191</f>
        <v>0.1852116604011651</v>
      </c>
    </row>
    <row r="103" spans="1:45" ht="17" x14ac:dyDescent="0.25">
      <c r="A103" s="2">
        <v>326.32997493380168</v>
      </c>
      <c r="L103" s="2"/>
      <c r="N103">
        <v>102</v>
      </c>
      <c r="O103" s="2">
        <v>326.32997493380168</v>
      </c>
      <c r="R103" s="7">
        <f t="shared" ca="1" si="20"/>
        <v>0.24511167073823814</v>
      </c>
      <c r="S103" s="7">
        <f t="shared" ca="1" si="21"/>
        <v>1</v>
      </c>
      <c r="T103">
        <f t="shared" ca="1" si="22"/>
        <v>157.18711365479857</v>
      </c>
      <c r="X103" s="2"/>
      <c r="AI103" t="s">
        <v>83</v>
      </c>
      <c r="AJ103">
        <f ca="1">SQRT((AJ102-AJ101)^2)/SQRT(AJ101^2)*100</f>
        <v>175.33994472851737</v>
      </c>
      <c r="AK103">
        <f t="shared" ref="AK103:AS103" ca="1" si="34">SQRT((AK102-AK101)^2)/SQRT(AK101^2)*100</f>
        <v>157.10088266000676</v>
      </c>
      <c r="AL103">
        <f t="shared" ca="1" si="34"/>
        <v>56.076981308039144</v>
      </c>
      <c r="AM103">
        <f t="shared" ca="1" si="34"/>
        <v>40.92905915406304</v>
      </c>
      <c r="AN103">
        <f t="shared" ca="1" si="34"/>
        <v>218.90676090599115</v>
      </c>
      <c r="AO103">
        <f t="shared" ca="1" si="34"/>
        <v>390.20285260693345</v>
      </c>
      <c r="AP103">
        <f t="shared" ca="1" si="34"/>
        <v>72.387327234041535</v>
      </c>
      <c r="AQ103">
        <f t="shared" ca="1" si="34"/>
        <v>511.50439493121007</v>
      </c>
      <c r="AR103">
        <f t="shared" ca="1" si="34"/>
        <v>84.035102705982851</v>
      </c>
      <c r="AS103">
        <f t="shared" ca="1" si="34"/>
        <v>1399.5842932270814</v>
      </c>
    </row>
    <row r="104" spans="1:45" ht="17" x14ac:dyDescent="0.25">
      <c r="A104" s="2">
        <v>654.62713712076084</v>
      </c>
      <c r="L104" s="2"/>
      <c r="N104">
        <v>103</v>
      </c>
      <c r="O104" s="2">
        <v>654.62713712076084</v>
      </c>
      <c r="R104" s="7">
        <f t="shared" ca="1" si="20"/>
        <v>0.27378808952491684</v>
      </c>
      <c r="S104" s="7">
        <f t="shared" ca="1" si="21"/>
        <v>1</v>
      </c>
      <c r="T104">
        <f t="shared" ca="1" si="22"/>
        <v>102.88357607491504</v>
      </c>
      <c r="X104" s="2"/>
    </row>
    <row r="105" spans="1:45" ht="17" x14ac:dyDescent="0.25">
      <c r="A105" s="2">
        <v>115.4648198547265</v>
      </c>
      <c r="L105" s="2"/>
      <c r="N105">
        <v>104</v>
      </c>
      <c r="O105" s="2">
        <v>115.4648198547265</v>
      </c>
      <c r="R105" s="7">
        <f t="shared" ca="1" si="20"/>
        <v>0.42371373585369454</v>
      </c>
      <c r="S105" s="7">
        <f t="shared" ca="1" si="21"/>
        <v>1</v>
      </c>
      <c r="T105">
        <f t="shared" ca="1" si="22"/>
        <v>14.973927646433889</v>
      </c>
      <c r="X105" s="2"/>
    </row>
    <row r="106" spans="1:45" ht="17" x14ac:dyDescent="0.25">
      <c r="A106" s="2">
        <v>243.65470085618085</v>
      </c>
      <c r="L106" s="2"/>
      <c r="N106">
        <v>105</v>
      </c>
      <c r="O106" s="2">
        <v>243.65470085618085</v>
      </c>
      <c r="R106" s="7">
        <f t="shared" ca="1" si="20"/>
        <v>0.63843415978038853</v>
      </c>
      <c r="S106" s="7">
        <f t="shared" ca="1" si="21"/>
        <v>2</v>
      </c>
      <c r="T106">
        <f t="shared" ca="1" si="22"/>
        <v>26.154859528819646</v>
      </c>
      <c r="X106" s="2"/>
    </row>
    <row r="107" spans="1:45" ht="17" x14ac:dyDescent="0.25">
      <c r="A107" s="2">
        <v>215.15059280494739</v>
      </c>
      <c r="L107" s="2"/>
      <c r="N107">
        <v>106</v>
      </c>
      <c r="O107" s="2">
        <v>215.15059280494739</v>
      </c>
      <c r="R107" s="7">
        <f t="shared" ca="1" si="20"/>
        <v>0.7049840131239411</v>
      </c>
      <c r="S107" s="7">
        <f t="shared" ca="1" si="21"/>
        <v>2</v>
      </c>
      <c r="T107">
        <f t="shared" ca="1" si="22"/>
        <v>64.925632980800685</v>
      </c>
      <c r="X107" s="2"/>
    </row>
    <row r="108" spans="1:45" ht="17" x14ac:dyDescent="0.25">
      <c r="A108" s="2">
        <v>82.971481830108885</v>
      </c>
      <c r="L108" s="2"/>
      <c r="N108">
        <v>107</v>
      </c>
      <c r="O108" s="2">
        <v>82.971481830108885</v>
      </c>
      <c r="R108" s="7">
        <f t="shared" ca="1" si="20"/>
        <v>4.7719572191582404E-3</v>
      </c>
      <c r="S108" s="7">
        <f t="shared" ca="1" si="21"/>
        <v>1</v>
      </c>
      <c r="T108">
        <f t="shared" ca="1" si="22"/>
        <v>335.92963717101355</v>
      </c>
      <c r="X108" s="2"/>
    </row>
    <row r="109" spans="1:45" ht="17" x14ac:dyDescent="0.25">
      <c r="A109" s="2">
        <v>325.033849707039</v>
      </c>
      <c r="L109" s="2"/>
      <c r="N109">
        <v>108</v>
      </c>
      <c r="O109" s="2">
        <v>325.033849707039</v>
      </c>
      <c r="R109" s="7">
        <f t="shared" ca="1" si="20"/>
        <v>0.27425229897514847</v>
      </c>
      <c r="S109" s="7">
        <f t="shared" ca="1" si="21"/>
        <v>1</v>
      </c>
      <c r="T109">
        <f t="shared" ca="1" si="22"/>
        <v>690.65084329741717</v>
      </c>
      <c r="X109" s="2"/>
    </row>
    <row r="110" spans="1:45" ht="17" x14ac:dyDescent="0.25">
      <c r="A110" s="2">
        <v>74.196269390149482</v>
      </c>
      <c r="L110" s="2"/>
      <c r="N110">
        <v>109</v>
      </c>
      <c r="O110" s="2">
        <v>74.196269390149482</v>
      </c>
      <c r="R110" s="7">
        <f t="shared" ca="1" si="20"/>
        <v>0.7723485105896446</v>
      </c>
      <c r="S110" s="7">
        <f t="shared" ca="1" si="21"/>
        <v>2</v>
      </c>
      <c r="T110">
        <f t="shared" ca="1" si="22"/>
        <v>41.128948225175392</v>
      </c>
      <c r="X110" s="2"/>
    </row>
    <row r="111" spans="1:45" ht="17" x14ac:dyDescent="0.25">
      <c r="A111" s="2">
        <v>88.394220714139919</v>
      </c>
      <c r="L111" s="2"/>
      <c r="N111">
        <v>110</v>
      </c>
      <c r="O111" s="2">
        <v>88.394220714139919</v>
      </c>
      <c r="R111" s="7">
        <f t="shared" ca="1" si="20"/>
        <v>0.41124203298436712</v>
      </c>
      <c r="S111" s="7">
        <f t="shared" ca="1" si="21"/>
        <v>1</v>
      </c>
      <c r="T111">
        <f t="shared" ca="1" si="22"/>
        <v>64.140143837241681</v>
      </c>
      <c r="X111" s="2"/>
    </row>
    <row r="112" spans="1:45" ht="17" x14ac:dyDescent="0.25">
      <c r="A112" s="2">
        <v>76.927029209636316</v>
      </c>
      <c r="L112" s="2"/>
      <c r="N112">
        <v>111</v>
      </c>
      <c r="O112" s="2">
        <v>76.927029209636316</v>
      </c>
      <c r="R112" s="7">
        <f t="shared" ca="1" si="20"/>
        <v>0.89307553286077912</v>
      </c>
      <c r="S112" s="7">
        <f t="shared" ca="1" si="21"/>
        <v>2</v>
      </c>
      <c r="T112">
        <f t="shared" ca="1" si="22"/>
        <v>2.3089500654242374</v>
      </c>
      <c r="X112" s="2"/>
    </row>
    <row r="113" spans="1:24" ht="17" x14ac:dyDescent="0.25">
      <c r="A113" s="2">
        <v>141.62302707842622</v>
      </c>
      <c r="L113" s="2"/>
      <c r="N113">
        <v>112</v>
      </c>
      <c r="O113" s="2">
        <v>141.62302707842622</v>
      </c>
      <c r="R113" s="7">
        <f t="shared" ca="1" si="20"/>
        <v>0.73020283543956144</v>
      </c>
      <c r="S113" s="7">
        <f t="shared" ca="1" si="21"/>
        <v>2</v>
      </c>
      <c r="T113">
        <f t="shared" ca="1" si="22"/>
        <v>297.49960630673985</v>
      </c>
      <c r="X113" s="2"/>
    </row>
    <row r="114" spans="1:24" ht="17" x14ac:dyDescent="0.25">
      <c r="A114" s="2">
        <v>12.698507966118147</v>
      </c>
      <c r="L114" s="2"/>
      <c r="N114">
        <v>113</v>
      </c>
      <c r="O114" s="2">
        <v>12.698507966118147</v>
      </c>
      <c r="R114" s="7">
        <f t="shared" ca="1" si="20"/>
        <v>0.40308475901862773</v>
      </c>
      <c r="S114" s="7">
        <f t="shared" ca="1" si="21"/>
        <v>1</v>
      </c>
      <c r="T114">
        <f t="shared" ca="1" si="22"/>
        <v>37.139719019253853</v>
      </c>
      <c r="X114" s="2"/>
    </row>
    <row r="115" spans="1:24" ht="17" x14ac:dyDescent="0.25">
      <c r="A115" s="2">
        <v>29.290265299527341</v>
      </c>
      <c r="L115" s="2"/>
      <c r="N115">
        <v>114</v>
      </c>
      <c r="O115" s="2">
        <v>29.290265299527341</v>
      </c>
      <c r="R115" s="7">
        <f t="shared" ca="1" si="20"/>
        <v>0.46120753103310808</v>
      </c>
      <c r="S115" s="7">
        <f t="shared" ca="1" si="21"/>
        <v>1</v>
      </c>
      <c r="T115">
        <f t="shared" ca="1" si="22"/>
        <v>7.6019609323192476</v>
      </c>
      <c r="X115" s="2"/>
    </row>
    <row r="116" spans="1:24" ht="17" x14ac:dyDescent="0.25">
      <c r="A116" s="2">
        <v>98.749475727860286</v>
      </c>
      <c r="L116" s="2"/>
      <c r="N116">
        <v>115</v>
      </c>
      <c r="O116" s="2">
        <v>98.749475727860286</v>
      </c>
      <c r="R116" s="7">
        <f t="shared" ca="1" si="20"/>
        <v>0.67242665112904787</v>
      </c>
      <c r="S116" s="7">
        <f t="shared" ca="1" si="21"/>
        <v>2</v>
      </c>
      <c r="T116">
        <f t="shared" ca="1" si="22"/>
        <v>10.14365975015167</v>
      </c>
      <c r="X116" s="2"/>
    </row>
    <row r="117" spans="1:24" ht="17" x14ac:dyDescent="0.25">
      <c r="A117" s="2">
        <v>7.7667367024418965</v>
      </c>
      <c r="L117" s="2"/>
      <c r="N117">
        <v>116</v>
      </c>
      <c r="O117" s="2">
        <v>7.7667367024418965</v>
      </c>
      <c r="R117" s="7">
        <f t="shared" ca="1" si="20"/>
        <v>0.90450097172676969</v>
      </c>
      <c r="S117" s="7">
        <f t="shared" ca="1" si="21"/>
        <v>2</v>
      </c>
      <c r="T117">
        <f t="shared" ca="1" si="22"/>
        <v>130.36171715524398</v>
      </c>
      <c r="X117" s="2"/>
    </row>
    <row r="118" spans="1:24" ht="17" x14ac:dyDescent="0.25">
      <c r="A118" s="2">
        <v>206.57309963356838</v>
      </c>
      <c r="L118" s="2"/>
      <c r="N118">
        <v>117</v>
      </c>
      <c r="O118" s="2">
        <v>206.57309963356838</v>
      </c>
      <c r="R118" s="7">
        <f t="shared" ca="1" si="20"/>
        <v>0.14357244689724102</v>
      </c>
      <c r="S118" s="7">
        <f t="shared" ca="1" si="21"/>
        <v>1</v>
      </c>
      <c r="T118">
        <f t="shared" ca="1" si="22"/>
        <v>189.43839489229165</v>
      </c>
      <c r="X118" s="2"/>
    </row>
    <row r="119" spans="1:24" ht="17" x14ac:dyDescent="0.25">
      <c r="A119" s="2">
        <v>148.36872802554123</v>
      </c>
      <c r="L119" s="2"/>
      <c r="N119">
        <v>118</v>
      </c>
      <c r="O119" s="2">
        <v>148.36872802554123</v>
      </c>
      <c r="R119" s="7">
        <f t="shared" ca="1" si="20"/>
        <v>0.33184513939368609</v>
      </c>
      <c r="S119" s="7">
        <f t="shared" ca="1" si="21"/>
        <v>1</v>
      </c>
      <c r="T119">
        <f t="shared" ca="1" si="22"/>
        <v>24.956717434000325</v>
      </c>
      <c r="X119" s="2"/>
    </row>
    <row r="120" spans="1:24" ht="17" x14ac:dyDescent="0.25">
      <c r="A120" s="2">
        <v>7.8098919662992463</v>
      </c>
      <c r="L120" s="2"/>
      <c r="N120">
        <v>119</v>
      </c>
      <c r="O120" s="2">
        <v>7.8098919662992463</v>
      </c>
      <c r="R120" s="7">
        <f t="shared" ca="1" si="20"/>
        <v>0.77056842308629214</v>
      </c>
      <c r="S120" s="7">
        <f t="shared" ca="1" si="21"/>
        <v>2</v>
      </c>
      <c r="T120">
        <f t="shared" ca="1" si="22"/>
        <v>40.603988065854452</v>
      </c>
      <c r="X120" s="2"/>
    </row>
    <row r="121" spans="1:24" ht="17" x14ac:dyDescent="0.25">
      <c r="A121" s="2">
        <v>138.68381167808099</v>
      </c>
      <c r="L121" s="2"/>
      <c r="N121">
        <v>120</v>
      </c>
      <c r="O121" s="2">
        <v>138.68381167808099</v>
      </c>
      <c r="R121" s="7">
        <f t="shared" ca="1" si="20"/>
        <v>8.3417423033324001E-3</v>
      </c>
      <c r="S121" s="7">
        <f t="shared" ca="1" si="21"/>
        <v>1</v>
      </c>
      <c r="T121">
        <f t="shared" ca="1" si="22"/>
        <v>433.6718878743028</v>
      </c>
      <c r="X121" s="2"/>
    </row>
    <row r="122" spans="1:24" ht="17" x14ac:dyDescent="0.25">
      <c r="A122" s="2">
        <v>141.20872568592765</v>
      </c>
      <c r="C122" t="s">
        <v>90</v>
      </c>
      <c r="L122" s="2"/>
      <c r="N122">
        <v>121</v>
      </c>
      <c r="O122" s="2">
        <v>141.20872568592765</v>
      </c>
      <c r="R122" s="7">
        <f t="shared" ca="1" si="20"/>
        <v>0.42044899634735</v>
      </c>
      <c r="S122" s="7">
        <f t="shared" ca="1" si="21"/>
        <v>1</v>
      </c>
      <c r="T122">
        <f t="shared" ca="1" si="22"/>
        <v>116.16495571773923</v>
      </c>
      <c r="X122" s="2"/>
    </row>
    <row r="123" spans="1:24" ht="17" x14ac:dyDescent="0.25">
      <c r="A123" s="2">
        <v>5.1879554362129179</v>
      </c>
      <c r="L123" s="2"/>
      <c r="N123">
        <v>122</v>
      </c>
      <c r="O123" s="2">
        <v>5.1879554362129179</v>
      </c>
      <c r="R123" s="7">
        <f t="shared" ca="1" si="20"/>
        <v>0.33199726587601519</v>
      </c>
      <c r="S123" s="7">
        <f t="shared" ca="1" si="21"/>
        <v>1</v>
      </c>
      <c r="T123">
        <f t="shared" ca="1" si="22"/>
        <v>232.91168808714775</v>
      </c>
      <c r="X123" s="2"/>
    </row>
    <row r="124" spans="1:24" ht="17" x14ac:dyDescent="0.25">
      <c r="A124" s="2">
        <v>21.277540911922657</v>
      </c>
      <c r="L124" s="2"/>
      <c r="N124">
        <v>123</v>
      </c>
      <c r="O124" s="2">
        <v>21.277540911922657</v>
      </c>
      <c r="R124" s="7">
        <f t="shared" ca="1" si="20"/>
        <v>0.20868092097743729</v>
      </c>
      <c r="S124" s="7">
        <f t="shared" ca="1" si="21"/>
        <v>1</v>
      </c>
      <c r="T124">
        <f t="shared" ca="1" si="22"/>
        <v>50.809283088644079</v>
      </c>
      <c r="X124" s="2"/>
    </row>
    <row r="125" spans="1:24" ht="17" x14ac:dyDescent="0.25">
      <c r="A125" s="2">
        <v>11.710939114343567</v>
      </c>
      <c r="B125" s="4" t="s">
        <v>28</v>
      </c>
      <c r="C125" s="4" t="s">
        <v>11</v>
      </c>
      <c r="D125" s="4"/>
      <c r="E125" s="4"/>
      <c r="F125" s="4"/>
      <c r="G125" s="4"/>
      <c r="H125" s="4"/>
      <c r="I125" s="4"/>
      <c r="J125" s="4"/>
      <c r="K125" s="4"/>
      <c r="L125" s="5"/>
      <c r="M125" s="4"/>
      <c r="N125">
        <v>124</v>
      </c>
      <c r="O125" s="2">
        <v>11.710939114343567</v>
      </c>
      <c r="R125" s="7">
        <f t="shared" ca="1" si="20"/>
        <v>0.68173677519783416</v>
      </c>
      <c r="S125" s="7">
        <f t="shared" ca="1" si="21"/>
        <v>2</v>
      </c>
      <c r="T125">
        <f t="shared" ca="1" si="22"/>
        <v>1.6917473165286629</v>
      </c>
      <c r="X125" s="2"/>
    </row>
    <row r="126" spans="1:24" ht="17" x14ac:dyDescent="0.25">
      <c r="A126" s="2">
        <v>306.16173042080726</v>
      </c>
      <c r="C126" t="s">
        <v>12</v>
      </c>
      <c r="D126">
        <f>CORREL(A2:A300,A3:A301)</f>
        <v>4.9547652154041402E-2</v>
      </c>
      <c r="L126" s="2"/>
      <c r="N126">
        <v>125</v>
      </c>
      <c r="O126" s="2">
        <v>306.16173042080726</v>
      </c>
      <c r="R126" s="7">
        <f t="shared" ca="1" si="20"/>
        <v>0.73692095265748581</v>
      </c>
      <c r="S126" s="7">
        <f t="shared" ca="1" si="21"/>
        <v>2</v>
      </c>
      <c r="T126">
        <f t="shared" ca="1" si="22"/>
        <v>221.30730753403276</v>
      </c>
      <c r="X126" s="2"/>
    </row>
    <row r="127" spans="1:24" ht="17" x14ac:dyDescent="0.25">
      <c r="A127" s="2">
        <v>71.498376447658714</v>
      </c>
      <c r="C127" t="s">
        <v>13</v>
      </c>
      <c r="D127">
        <f>CORREL(A2:A299,A4:A301)</f>
        <v>7.2271275762273768E-2</v>
      </c>
      <c r="L127" s="2"/>
      <c r="N127">
        <v>126</v>
      </c>
      <c r="O127" s="2">
        <v>71.498376447658714</v>
      </c>
      <c r="R127" s="7">
        <f t="shared" ca="1" si="20"/>
        <v>0.70334960005980685</v>
      </c>
      <c r="S127" s="7">
        <f t="shared" ca="1" si="21"/>
        <v>2</v>
      </c>
      <c r="T127">
        <f t="shared" ca="1" si="22"/>
        <v>35.475746571366955</v>
      </c>
      <c r="X127" s="2"/>
    </row>
    <row r="128" spans="1:24" ht="17" x14ac:dyDescent="0.25">
      <c r="A128" s="2">
        <v>166.36857418562474</v>
      </c>
      <c r="C128" t="s">
        <v>14</v>
      </c>
      <c r="D128">
        <f>CORREL(A2:A298,A5:A301)</f>
        <v>7.7370704147236388E-2</v>
      </c>
      <c r="L128" s="2"/>
      <c r="N128">
        <v>127</v>
      </c>
      <c r="O128" s="2">
        <v>166.36857418562474</v>
      </c>
      <c r="R128" s="7">
        <f t="shared" ca="1" si="20"/>
        <v>0.27061385313665853</v>
      </c>
      <c r="S128" s="7">
        <f t="shared" ca="1" si="21"/>
        <v>1</v>
      </c>
      <c r="T128">
        <f t="shared" ca="1" si="22"/>
        <v>171.23410111783704</v>
      </c>
      <c r="X128" s="2"/>
    </row>
    <row r="129" spans="1:24" ht="17" x14ac:dyDescent="0.25">
      <c r="A129" s="2">
        <v>518.71187977849343</v>
      </c>
      <c r="C129" t="s">
        <v>15</v>
      </c>
      <c r="D129">
        <f>CORREL(A2:A297,A6:A301)</f>
        <v>4.0334078113071881E-2</v>
      </c>
      <c r="L129" s="2"/>
      <c r="N129">
        <v>128</v>
      </c>
      <c r="O129" s="2">
        <v>518.71187977849343</v>
      </c>
      <c r="R129" s="7">
        <f t="shared" ca="1" si="20"/>
        <v>0.20706050306780144</v>
      </c>
      <c r="S129" s="7">
        <f t="shared" ca="1" si="21"/>
        <v>1</v>
      </c>
      <c r="T129">
        <f t="shared" ca="1" si="22"/>
        <v>358.91945075631105</v>
      </c>
      <c r="X129" s="2"/>
    </row>
    <row r="130" spans="1:24" ht="17" x14ac:dyDescent="0.25">
      <c r="A130" s="2">
        <v>108.53519487571036</v>
      </c>
      <c r="C130" t="s">
        <v>16</v>
      </c>
      <c r="D130">
        <f>CORREL(A2:A296,A7:A301)</f>
        <v>-3.3666611226996088E-2</v>
      </c>
      <c r="L130" s="2"/>
      <c r="N130">
        <v>129</v>
      </c>
      <c r="O130" s="2">
        <v>108.53519487571036</v>
      </c>
      <c r="R130" s="7">
        <f t="shared" ca="1" si="20"/>
        <v>8.7744424241835373E-2</v>
      </c>
      <c r="S130" s="7">
        <f t="shared" ca="1" si="21"/>
        <v>1</v>
      </c>
      <c r="T130">
        <f t="shared" ca="1" si="22"/>
        <v>94.439626296940503</v>
      </c>
      <c r="X130" s="2"/>
    </row>
    <row r="131" spans="1:24" ht="17" x14ac:dyDescent="0.25">
      <c r="A131" s="2">
        <v>315.9805303283469</v>
      </c>
      <c r="C131" t="s">
        <v>17</v>
      </c>
      <c r="D131">
        <f>CORREL(A2:A295,A8:A301)</f>
        <v>-2.5852526101782666E-2</v>
      </c>
      <c r="L131" s="2"/>
      <c r="N131">
        <v>130</v>
      </c>
      <c r="O131" s="2">
        <v>315.9805303283469</v>
      </c>
      <c r="R131" s="7">
        <f t="shared" ref="R131:R194" ca="1" si="35">RAND()</f>
        <v>0.99896105123747425</v>
      </c>
      <c r="S131" s="7">
        <f t="shared" ref="S131:S194" ca="1" si="36">IF(R131&lt;$D$170,1,2)</f>
        <v>2</v>
      </c>
      <c r="T131">
        <f t="shared" ref="T131:T194" ca="1" si="37">IF(S131=1,-$D$171*LN(RAND()),-$D$172*LN(RAND()))</f>
        <v>78.939992862640935</v>
      </c>
      <c r="X131" s="2"/>
    </row>
    <row r="132" spans="1:24" ht="17" x14ac:dyDescent="0.25">
      <c r="A132" s="2">
        <v>115.86565126830465</v>
      </c>
      <c r="C132" t="s">
        <v>18</v>
      </c>
      <c r="D132">
        <f>CORREL(A2:A294,A9:A301)</f>
        <v>4.8339630111033871E-2</v>
      </c>
      <c r="L132" s="2"/>
      <c r="N132">
        <v>131</v>
      </c>
      <c r="O132" s="2">
        <v>115.86565126830465</v>
      </c>
      <c r="R132" s="7">
        <f t="shared" ca="1" si="35"/>
        <v>0.36842543576344433</v>
      </c>
      <c r="S132" s="7">
        <f t="shared" ca="1" si="36"/>
        <v>1</v>
      </c>
      <c r="T132">
        <f t="shared" ca="1" si="37"/>
        <v>243.67045769529909</v>
      </c>
      <c r="X132" s="2"/>
    </row>
    <row r="133" spans="1:24" ht="17" x14ac:dyDescent="0.25">
      <c r="A133" s="2">
        <v>186.77371391824423</v>
      </c>
      <c r="C133" t="s">
        <v>19</v>
      </c>
      <c r="D133">
        <f>CORREL(A2:A293,A10:A301)</f>
        <v>-7.831502651547733E-3</v>
      </c>
      <c r="L133" s="2"/>
      <c r="N133">
        <v>132</v>
      </c>
      <c r="O133" s="2">
        <v>186.77371391824423</v>
      </c>
      <c r="R133" s="7">
        <f t="shared" ca="1" si="35"/>
        <v>0.19926475555086509</v>
      </c>
      <c r="S133" s="7">
        <f t="shared" ca="1" si="36"/>
        <v>1</v>
      </c>
      <c r="T133">
        <f t="shared" ca="1" si="37"/>
        <v>115.79124202977454</v>
      </c>
      <c r="X133" s="2"/>
    </row>
    <row r="134" spans="1:24" ht="17" x14ac:dyDescent="0.25">
      <c r="A134" s="2">
        <v>7.2750222830841693</v>
      </c>
      <c r="C134" t="s">
        <v>20</v>
      </c>
      <c r="D134">
        <f>CORREL(A2:A292,A11:A301)</f>
        <v>5.8799324717819249E-2</v>
      </c>
      <c r="L134" s="2"/>
      <c r="N134">
        <v>133</v>
      </c>
      <c r="O134" s="2">
        <v>7.2750222830841693</v>
      </c>
      <c r="R134" s="7">
        <f t="shared" ca="1" si="35"/>
        <v>0.14870202807297439</v>
      </c>
      <c r="S134" s="7">
        <f t="shared" ca="1" si="36"/>
        <v>1</v>
      </c>
      <c r="T134">
        <f t="shared" ca="1" si="37"/>
        <v>96.195383401245337</v>
      </c>
      <c r="X134" s="2"/>
    </row>
    <row r="135" spans="1:24" ht="17" x14ac:dyDescent="0.25">
      <c r="A135" s="2">
        <v>10.144992022824315</v>
      </c>
      <c r="C135" t="s">
        <v>21</v>
      </c>
      <c r="D135">
        <f>CORREL(A2:A291,A12:A301)</f>
        <v>-1.4251608100099003E-2</v>
      </c>
      <c r="L135" s="2"/>
      <c r="N135">
        <v>134</v>
      </c>
      <c r="O135" s="2">
        <v>10.144992022824315</v>
      </c>
      <c r="R135" s="7">
        <f t="shared" ca="1" si="35"/>
        <v>6.1243846036891814E-2</v>
      </c>
      <c r="S135" s="7">
        <f t="shared" ca="1" si="36"/>
        <v>1</v>
      </c>
      <c r="T135">
        <f t="shared" ca="1" si="37"/>
        <v>7.0568763419258467</v>
      </c>
      <c r="X135" s="2"/>
    </row>
    <row r="136" spans="1:24" ht="17" x14ac:dyDescent="0.25">
      <c r="A136" s="2">
        <v>205.26197606402235</v>
      </c>
      <c r="C136" t="s">
        <v>22</v>
      </c>
      <c r="D136">
        <f>CORREL(A2:A290,A13:A301)</f>
        <v>9.2625957013818289E-2</v>
      </c>
      <c r="L136" s="2"/>
      <c r="N136">
        <v>135</v>
      </c>
      <c r="O136" s="2">
        <v>205.26197606402235</v>
      </c>
      <c r="R136" s="7">
        <f t="shared" ca="1" si="35"/>
        <v>0.28083299967425013</v>
      </c>
      <c r="S136" s="7">
        <f t="shared" ca="1" si="36"/>
        <v>1</v>
      </c>
      <c r="T136">
        <f t="shared" ca="1" si="37"/>
        <v>473.40559424017079</v>
      </c>
      <c r="X136" s="2"/>
    </row>
    <row r="137" spans="1:24" ht="17" x14ac:dyDescent="0.25">
      <c r="A137" s="2">
        <v>207.78857297117077</v>
      </c>
      <c r="C137" t="s">
        <v>23</v>
      </c>
      <c r="D137">
        <f>CORREL(A2:A289,A14:A301)</f>
        <v>8.5342988825641737E-3</v>
      </c>
      <c r="L137" s="2"/>
      <c r="N137">
        <v>136</v>
      </c>
      <c r="O137" s="2">
        <v>207.78857297117077</v>
      </c>
      <c r="R137" s="7">
        <f t="shared" ca="1" si="35"/>
        <v>0.40190488562258297</v>
      </c>
      <c r="S137" s="7">
        <f t="shared" ca="1" si="36"/>
        <v>1</v>
      </c>
      <c r="T137">
        <f t="shared" ca="1" si="37"/>
        <v>279.43166013364754</v>
      </c>
      <c r="X137" s="2"/>
    </row>
    <row r="138" spans="1:24" ht="17" x14ac:dyDescent="0.25">
      <c r="A138" s="2">
        <v>51.636878296051449</v>
      </c>
      <c r="C138" t="s">
        <v>24</v>
      </c>
      <c r="D138">
        <f>CORREL(A2:A288,A15:A301)</f>
        <v>1.29319026784633E-2</v>
      </c>
      <c r="L138" s="2"/>
      <c r="N138">
        <v>137</v>
      </c>
      <c r="O138" s="2">
        <v>51.636878296051449</v>
      </c>
      <c r="R138" s="7">
        <f t="shared" ca="1" si="35"/>
        <v>0.71480836683928928</v>
      </c>
      <c r="S138" s="7">
        <f t="shared" ca="1" si="36"/>
        <v>2</v>
      </c>
      <c r="T138">
        <f t="shared" ca="1" si="37"/>
        <v>104.64265182705797</v>
      </c>
      <c r="X138" s="2"/>
    </row>
    <row r="139" spans="1:24" ht="17" x14ac:dyDescent="0.25">
      <c r="A139" s="2">
        <v>157.12151408642518</v>
      </c>
      <c r="C139" t="s">
        <v>25</v>
      </c>
      <c r="D139">
        <f>CORREL(A2:A287,A16:A301)</f>
        <v>-4.1489547904425432E-2</v>
      </c>
      <c r="L139" s="2"/>
      <c r="N139">
        <v>138</v>
      </c>
      <c r="O139" s="2">
        <v>157.12151408642518</v>
      </c>
      <c r="R139" s="7">
        <f t="shared" ca="1" si="35"/>
        <v>0.75368724291839506</v>
      </c>
      <c r="S139" s="7">
        <f t="shared" ca="1" si="36"/>
        <v>2</v>
      </c>
      <c r="T139">
        <f t="shared" ca="1" si="37"/>
        <v>61.680396028056045</v>
      </c>
      <c r="X139" s="2"/>
    </row>
    <row r="140" spans="1:24" ht="17" x14ac:dyDescent="0.25">
      <c r="A140" s="2">
        <v>161.44120736651524</v>
      </c>
      <c r="C140" t="s">
        <v>26</v>
      </c>
      <c r="D140">
        <f>CORREL(A2:A286,A17:A301)</f>
        <v>-7.1521641803014735E-2</v>
      </c>
      <c r="L140" s="2"/>
      <c r="N140">
        <v>139</v>
      </c>
      <c r="O140" s="2">
        <v>161.44120736651524</v>
      </c>
      <c r="R140" s="7">
        <f t="shared" ca="1" si="35"/>
        <v>0.55909127017782234</v>
      </c>
      <c r="S140" s="7">
        <f t="shared" ca="1" si="36"/>
        <v>2</v>
      </c>
      <c r="T140">
        <f t="shared" ca="1" si="37"/>
        <v>194.63600708805399</v>
      </c>
      <c r="X140" s="2"/>
    </row>
    <row r="141" spans="1:24" ht="17" x14ac:dyDescent="0.25">
      <c r="A141" s="2">
        <v>202.42950894531884</v>
      </c>
      <c r="L141" s="2"/>
      <c r="N141">
        <v>140</v>
      </c>
      <c r="O141" s="2">
        <v>202.42950894531884</v>
      </c>
      <c r="R141" s="7">
        <f t="shared" ca="1" si="35"/>
        <v>0.97812576271742535</v>
      </c>
      <c r="S141" s="7">
        <f t="shared" ca="1" si="36"/>
        <v>2</v>
      </c>
      <c r="T141">
        <f t="shared" ca="1" si="37"/>
        <v>3.7556691571650731</v>
      </c>
      <c r="X141" s="2"/>
    </row>
    <row r="142" spans="1:24" ht="17" x14ac:dyDescent="0.25">
      <c r="A142" s="2">
        <v>44.505545515779176</v>
      </c>
      <c r="L142" s="2"/>
      <c r="N142">
        <v>141</v>
      </c>
      <c r="O142" s="2">
        <v>44.505545515779176</v>
      </c>
      <c r="R142" s="7">
        <f t="shared" ca="1" si="35"/>
        <v>0.53420646010806438</v>
      </c>
      <c r="S142" s="7">
        <f t="shared" ca="1" si="36"/>
        <v>2</v>
      </c>
      <c r="T142">
        <f t="shared" ca="1" si="37"/>
        <v>191.83230701276094</v>
      </c>
      <c r="X142" s="2"/>
    </row>
    <row r="143" spans="1:24" ht="17" x14ac:dyDescent="0.25">
      <c r="A143" s="2">
        <v>264.53935160576469</v>
      </c>
      <c r="L143" s="2"/>
      <c r="N143">
        <v>142</v>
      </c>
      <c r="O143" s="2">
        <v>264.53935160576469</v>
      </c>
      <c r="R143" s="7">
        <f t="shared" ca="1" si="35"/>
        <v>6.8125418821904815E-2</v>
      </c>
      <c r="S143" s="7">
        <f t="shared" ca="1" si="36"/>
        <v>1</v>
      </c>
      <c r="T143">
        <f t="shared" ca="1" si="37"/>
        <v>392.63722947372815</v>
      </c>
      <c r="X143" s="2"/>
    </row>
    <row r="144" spans="1:24" ht="17" x14ac:dyDescent="0.25">
      <c r="A144" s="2">
        <v>134.72374292686888</v>
      </c>
      <c r="C144" t="s">
        <v>91</v>
      </c>
      <c r="L144" s="2"/>
      <c r="N144">
        <v>143</v>
      </c>
      <c r="O144" s="2">
        <v>134.72374292686888</v>
      </c>
      <c r="R144" s="7">
        <f t="shared" ca="1" si="35"/>
        <v>0.74044581861141889</v>
      </c>
      <c r="S144" s="7">
        <f t="shared" ca="1" si="36"/>
        <v>2</v>
      </c>
      <c r="T144">
        <f t="shared" ca="1" si="37"/>
        <v>99.275322189771757</v>
      </c>
      <c r="X144" s="2"/>
    </row>
    <row r="145" spans="1:26" ht="17" x14ac:dyDescent="0.25">
      <c r="A145" s="2">
        <v>5.3413401144254014</v>
      </c>
      <c r="L145" s="2"/>
      <c r="N145">
        <v>144</v>
      </c>
      <c r="O145" s="2">
        <v>5.3413401144254014</v>
      </c>
      <c r="R145" s="7">
        <f t="shared" ca="1" si="35"/>
        <v>0.79678907885056494</v>
      </c>
      <c r="S145" s="7">
        <f t="shared" ca="1" si="36"/>
        <v>2</v>
      </c>
      <c r="T145">
        <f t="shared" ca="1" si="37"/>
        <v>92.202405044046557</v>
      </c>
      <c r="X145" s="2"/>
    </row>
    <row r="146" spans="1:26" ht="17" x14ac:dyDescent="0.25">
      <c r="A146" s="2">
        <v>27.337904129578394</v>
      </c>
      <c r="B146" s="4" t="s">
        <v>30</v>
      </c>
      <c r="C146" s="4" t="s">
        <v>29</v>
      </c>
      <c r="D146" s="4"/>
      <c r="E146" s="4"/>
      <c r="F146" s="4"/>
      <c r="G146" s="4"/>
      <c r="H146" s="4"/>
      <c r="I146" s="4"/>
      <c r="J146" s="4"/>
      <c r="K146" s="4"/>
      <c r="L146" s="5"/>
      <c r="M146" s="4"/>
      <c r="N146">
        <v>145</v>
      </c>
      <c r="O146" s="2">
        <v>27.337904129578394</v>
      </c>
      <c r="R146" s="7">
        <f t="shared" ca="1" si="35"/>
        <v>0.52129932512927724</v>
      </c>
      <c r="S146" s="7">
        <f t="shared" ca="1" si="36"/>
        <v>2</v>
      </c>
      <c r="T146">
        <f t="shared" ca="1" si="37"/>
        <v>245.65554208850585</v>
      </c>
      <c r="X146" s="2"/>
    </row>
    <row r="147" spans="1:26" ht="17" x14ac:dyDescent="0.25">
      <c r="A147" s="2">
        <v>20.319206453698566</v>
      </c>
      <c r="L147" s="2"/>
      <c r="N147">
        <v>146</v>
      </c>
      <c r="O147" s="2">
        <v>20.319206453698566</v>
      </c>
      <c r="R147" s="7">
        <f t="shared" ca="1" si="35"/>
        <v>0.15511264548590908</v>
      </c>
      <c r="S147" s="7">
        <f t="shared" ca="1" si="36"/>
        <v>1</v>
      </c>
      <c r="T147">
        <f t="shared" ca="1" si="37"/>
        <v>84.359467445188287</v>
      </c>
      <c r="X147" s="2"/>
    </row>
    <row r="148" spans="1:26" ht="17" x14ac:dyDescent="0.25">
      <c r="A148" s="2">
        <v>25.010620701694869</v>
      </c>
      <c r="L148" s="2"/>
      <c r="N148">
        <v>147</v>
      </c>
      <c r="O148" s="2">
        <v>25.010620701694869</v>
      </c>
      <c r="R148" s="7">
        <f t="shared" ca="1" si="35"/>
        <v>0.85508404927256654</v>
      </c>
      <c r="S148" s="7">
        <f t="shared" ca="1" si="36"/>
        <v>2</v>
      </c>
      <c r="T148">
        <f t="shared" ca="1" si="37"/>
        <v>35.886168372904493</v>
      </c>
      <c r="X148" s="2"/>
    </row>
    <row r="149" spans="1:26" ht="17" x14ac:dyDescent="0.25">
      <c r="A149" s="2">
        <v>308.06261991850027</v>
      </c>
      <c r="L149" s="2"/>
      <c r="N149">
        <v>148</v>
      </c>
      <c r="O149" s="2">
        <v>308.06261991850027</v>
      </c>
      <c r="R149" s="7">
        <f t="shared" ca="1" si="35"/>
        <v>0.16216295942271108</v>
      </c>
      <c r="S149" s="7">
        <f t="shared" ca="1" si="36"/>
        <v>1</v>
      </c>
      <c r="T149">
        <f t="shared" ca="1" si="37"/>
        <v>147.1481773775312</v>
      </c>
      <c r="X149" s="2"/>
    </row>
    <row r="150" spans="1:26" ht="17" x14ac:dyDescent="0.25">
      <c r="A150" s="2">
        <v>42.76798095353864</v>
      </c>
      <c r="L150" s="2"/>
      <c r="N150">
        <v>149</v>
      </c>
      <c r="O150" s="2">
        <v>42.76798095353864</v>
      </c>
      <c r="R150" s="7">
        <f t="shared" ca="1" si="35"/>
        <v>0.67303046694491486</v>
      </c>
      <c r="S150" s="7">
        <f t="shared" ca="1" si="36"/>
        <v>2</v>
      </c>
      <c r="T150">
        <f t="shared" ca="1" si="37"/>
        <v>6.4857256608865637</v>
      </c>
      <c r="X150" s="2"/>
    </row>
    <row r="151" spans="1:26" ht="17" x14ac:dyDescent="0.25">
      <c r="A151" s="2">
        <v>454.10568127322153</v>
      </c>
      <c r="L151" s="2"/>
      <c r="N151">
        <v>150</v>
      </c>
      <c r="O151" s="2">
        <v>454.10568127322153</v>
      </c>
      <c r="R151" s="7">
        <f t="shared" ca="1" si="35"/>
        <v>2.9999848536244156E-2</v>
      </c>
      <c r="S151" s="7">
        <f t="shared" ca="1" si="36"/>
        <v>1</v>
      </c>
      <c r="T151">
        <f t="shared" ca="1" si="37"/>
        <v>14.887637228981253</v>
      </c>
      <c r="X151" s="2"/>
    </row>
    <row r="152" spans="1:26" ht="17" x14ac:dyDescent="0.25">
      <c r="A152" s="2">
        <v>121.96873765226952</v>
      </c>
      <c r="L152" s="2"/>
      <c r="N152">
        <v>151</v>
      </c>
      <c r="O152" s="2">
        <v>121.96873765226952</v>
      </c>
      <c r="R152" s="7">
        <f t="shared" ca="1" si="35"/>
        <v>8.0122755155596082E-2</v>
      </c>
      <c r="S152" s="7">
        <f t="shared" ca="1" si="36"/>
        <v>1</v>
      </c>
      <c r="T152">
        <f t="shared" ca="1" si="37"/>
        <v>329.99098312241216</v>
      </c>
      <c r="X152" s="2"/>
    </row>
    <row r="153" spans="1:26" ht="17" x14ac:dyDescent="0.25">
      <c r="A153" s="2">
        <v>169.63007781369538</v>
      </c>
      <c r="L153" s="2"/>
      <c r="N153">
        <v>152</v>
      </c>
      <c r="O153" s="2">
        <v>169.63007781369538</v>
      </c>
      <c r="R153" s="7">
        <f t="shared" ca="1" si="35"/>
        <v>0.61370578942039611</v>
      </c>
      <c r="S153" s="7">
        <f t="shared" ca="1" si="36"/>
        <v>2</v>
      </c>
      <c r="T153">
        <f t="shared" ca="1" si="37"/>
        <v>10.618457401370089</v>
      </c>
      <c r="X153" s="2"/>
    </row>
    <row r="154" spans="1:26" ht="17" x14ac:dyDescent="0.25">
      <c r="A154" s="2">
        <v>69.906982156419446</v>
      </c>
      <c r="L154" s="2"/>
      <c r="N154">
        <v>153</v>
      </c>
      <c r="O154" s="2">
        <v>69.906982156419446</v>
      </c>
      <c r="R154" s="7">
        <f t="shared" ca="1" si="35"/>
        <v>0.9596280469693852</v>
      </c>
      <c r="S154" s="7">
        <f t="shared" ca="1" si="36"/>
        <v>2</v>
      </c>
      <c r="T154">
        <f t="shared" ca="1" si="37"/>
        <v>199.54559462848809</v>
      </c>
      <c r="X154" s="2"/>
    </row>
    <row r="155" spans="1:26" ht="17" x14ac:dyDescent="0.25">
      <c r="A155" s="2">
        <v>582.53819347374747</v>
      </c>
      <c r="L155" s="2"/>
      <c r="N155">
        <v>154</v>
      </c>
      <c r="O155" s="2">
        <v>582.53819347374747</v>
      </c>
      <c r="R155" s="7">
        <f t="shared" ca="1" si="35"/>
        <v>0.12585477660352962</v>
      </c>
      <c r="S155" s="7">
        <f t="shared" ca="1" si="36"/>
        <v>1</v>
      </c>
      <c r="T155">
        <f t="shared" ca="1" si="37"/>
        <v>28.579520251218842</v>
      </c>
      <c r="X155" s="2"/>
    </row>
    <row r="156" spans="1:26" ht="52" x14ac:dyDescent="0.25">
      <c r="A156" s="2">
        <v>56.484777971329365</v>
      </c>
      <c r="L156" s="2"/>
      <c r="N156">
        <v>155</v>
      </c>
      <c r="O156" s="2">
        <v>56.484777971329365</v>
      </c>
      <c r="R156" s="7">
        <f t="shared" ca="1" si="35"/>
        <v>2.1722029066065907E-2</v>
      </c>
      <c r="S156" s="7">
        <f t="shared" ca="1" si="36"/>
        <v>1</v>
      </c>
      <c r="T156">
        <f t="shared" ca="1" si="37"/>
        <v>151.66285022171533</v>
      </c>
      <c r="X156" s="2"/>
      <c r="Z156" s="11" t="s">
        <v>98</v>
      </c>
    </row>
    <row r="157" spans="1:26" ht="17" x14ac:dyDescent="0.25">
      <c r="A157" s="2">
        <v>13.535315792938897</v>
      </c>
      <c r="L157" s="2"/>
      <c r="N157">
        <v>156</v>
      </c>
      <c r="O157" s="2">
        <v>13.535315792938897</v>
      </c>
      <c r="R157" s="7">
        <f t="shared" ca="1" si="35"/>
        <v>0.93204476737807351</v>
      </c>
      <c r="S157" s="7">
        <f t="shared" ca="1" si="36"/>
        <v>2</v>
      </c>
      <c r="T157">
        <f t="shared" ca="1" si="37"/>
        <v>25.721475234978218</v>
      </c>
      <c r="X157" s="2"/>
    </row>
    <row r="158" spans="1:26" ht="17" x14ac:dyDescent="0.25">
      <c r="A158" s="2">
        <v>35.598587118306483</v>
      </c>
      <c r="L158" s="2"/>
      <c r="N158">
        <v>157</v>
      </c>
      <c r="O158" s="2">
        <v>35.598587118306483</v>
      </c>
      <c r="R158" s="7">
        <f t="shared" ca="1" si="35"/>
        <v>0.9878871366770382</v>
      </c>
      <c r="S158" s="7">
        <f t="shared" ca="1" si="36"/>
        <v>2</v>
      </c>
      <c r="T158">
        <f t="shared" ca="1" si="37"/>
        <v>138.03092560552992</v>
      </c>
      <c r="X158" s="2"/>
    </row>
    <row r="159" spans="1:26" ht="17" x14ac:dyDescent="0.25">
      <c r="A159" s="2">
        <v>8.1165958872212336</v>
      </c>
      <c r="L159" s="2"/>
      <c r="N159">
        <v>158</v>
      </c>
      <c r="O159" s="2">
        <v>8.1165958872212336</v>
      </c>
      <c r="R159" s="7">
        <f t="shared" ca="1" si="35"/>
        <v>0.87586471233659535</v>
      </c>
      <c r="S159" s="7">
        <f t="shared" ca="1" si="36"/>
        <v>2</v>
      </c>
      <c r="T159">
        <f t="shared" ca="1" si="37"/>
        <v>459.08276299769096</v>
      </c>
      <c r="X159" s="2"/>
    </row>
    <row r="160" spans="1:26" ht="17" x14ac:dyDescent="0.25">
      <c r="A160" s="2">
        <v>284.17822747951681</v>
      </c>
      <c r="L160" s="2"/>
      <c r="N160">
        <v>159</v>
      </c>
      <c r="O160" s="2">
        <v>284.17822747951681</v>
      </c>
      <c r="R160" s="7">
        <f t="shared" ca="1" si="35"/>
        <v>0.43253870077717749</v>
      </c>
      <c r="S160" s="7">
        <f t="shared" ca="1" si="36"/>
        <v>1</v>
      </c>
      <c r="T160">
        <f t="shared" ca="1" si="37"/>
        <v>67.720297780133606</v>
      </c>
      <c r="X160" s="2"/>
    </row>
    <row r="161" spans="1:36" ht="17" x14ac:dyDescent="0.25">
      <c r="A161" s="2">
        <v>113.70938740698564</v>
      </c>
      <c r="L161" s="2"/>
      <c r="N161">
        <v>160</v>
      </c>
      <c r="O161" s="2">
        <v>113.70938740698564</v>
      </c>
      <c r="R161" s="7">
        <f t="shared" ca="1" si="35"/>
        <v>0.49928721882166349</v>
      </c>
      <c r="S161" s="7">
        <f t="shared" ca="1" si="36"/>
        <v>2</v>
      </c>
      <c r="T161">
        <f t="shared" ca="1" si="37"/>
        <v>22.604950041004702</v>
      </c>
      <c r="X161" s="2"/>
    </row>
    <row r="162" spans="1:36" ht="17" x14ac:dyDescent="0.25">
      <c r="A162" s="2">
        <v>53.803754087323277</v>
      </c>
      <c r="L162" s="2"/>
      <c r="N162">
        <v>161</v>
      </c>
      <c r="O162" s="2">
        <v>53.803754087323277</v>
      </c>
      <c r="R162" s="7">
        <f t="shared" ca="1" si="35"/>
        <v>0.81597132926776961</v>
      </c>
      <c r="S162" s="7">
        <f t="shared" ca="1" si="36"/>
        <v>2</v>
      </c>
      <c r="T162">
        <f t="shared" ca="1" si="37"/>
        <v>127.92748070578712</v>
      </c>
      <c r="X162" s="2"/>
      <c r="AA162" s="3" t="s">
        <v>35</v>
      </c>
      <c r="AB162" s="8" t="s">
        <v>36</v>
      </c>
      <c r="AC162" s="3" t="s">
        <v>37</v>
      </c>
    </row>
    <row r="163" spans="1:36" ht="17" x14ac:dyDescent="0.25">
      <c r="A163" s="2">
        <v>36.481467640770603</v>
      </c>
      <c r="L163" s="2"/>
      <c r="N163">
        <v>162</v>
      </c>
      <c r="O163" s="2">
        <v>36.481467640770603</v>
      </c>
      <c r="R163" s="7">
        <f t="shared" ca="1" si="35"/>
        <v>0.32452390854789159</v>
      </c>
      <c r="S163" s="7">
        <f t="shared" ca="1" si="36"/>
        <v>1</v>
      </c>
      <c r="T163">
        <f t="shared" ca="1" si="37"/>
        <v>75.366648940258173</v>
      </c>
      <c r="X163" s="2"/>
      <c r="AA163" s="12">
        <v>0.73654096400000002</v>
      </c>
      <c r="AB163" s="12">
        <v>2</v>
      </c>
      <c r="AC163" s="3">
        <v>50.160811099999997</v>
      </c>
      <c r="AH163" s="3" t="s">
        <v>35</v>
      </c>
      <c r="AI163" s="8" t="s">
        <v>36</v>
      </c>
      <c r="AJ163" s="3" t="s">
        <v>37</v>
      </c>
    </row>
    <row r="164" spans="1:36" ht="17" x14ac:dyDescent="0.25">
      <c r="A164" s="2">
        <v>70.410082229632948</v>
      </c>
      <c r="C164" t="s">
        <v>92</v>
      </c>
      <c r="L164" s="2"/>
      <c r="N164">
        <v>163</v>
      </c>
      <c r="O164" s="2">
        <v>70.410082229632948</v>
      </c>
      <c r="R164" s="7">
        <f t="shared" ca="1" si="35"/>
        <v>0.37124380856439998</v>
      </c>
      <c r="S164" s="7">
        <f t="shared" ca="1" si="36"/>
        <v>1</v>
      </c>
      <c r="T164">
        <f t="shared" ca="1" si="37"/>
        <v>259.73316079185861</v>
      </c>
      <c r="X164" s="2"/>
      <c r="AA164" s="12">
        <v>0.73654096400000002</v>
      </c>
      <c r="AB164" s="12">
        <v>2</v>
      </c>
      <c r="AC164" s="3">
        <v>50.160811099999997</v>
      </c>
      <c r="AH164" s="7">
        <f ca="1">RAND()</f>
        <v>0.62684735419383641</v>
      </c>
      <c r="AI164" s="7">
        <f ca="1">IF(AH164&lt;$D$170,1,2)</f>
        <v>2</v>
      </c>
      <c r="AJ164">
        <f ca="1">IF(AI164=1,-$D$171*LN(RAND()),-$D$172*LN(RAND()))</f>
        <v>296.59251171886945</v>
      </c>
    </row>
    <row r="165" spans="1:36" ht="17" x14ac:dyDescent="0.25">
      <c r="A165" s="2">
        <v>40.899862131374704</v>
      </c>
      <c r="L165" s="2"/>
      <c r="N165">
        <v>164</v>
      </c>
      <c r="O165" s="2">
        <v>40.899862131374704</v>
      </c>
      <c r="R165" s="7">
        <f t="shared" ca="1" si="35"/>
        <v>0.30327420026272667</v>
      </c>
      <c r="S165" s="7">
        <f t="shared" ca="1" si="36"/>
        <v>1</v>
      </c>
      <c r="T165">
        <f t="shared" ca="1" si="37"/>
        <v>105.22648821131735</v>
      </c>
      <c r="X165" s="2"/>
      <c r="AA165" s="12">
        <v>0.73654096400000002</v>
      </c>
      <c r="AB165" s="12">
        <v>2</v>
      </c>
      <c r="AC165" s="3">
        <v>50.160811099999997</v>
      </c>
      <c r="AH165" s="7">
        <f t="shared" ref="AH165:AH188" ca="1" si="38">RAND()</f>
        <v>0.38755127163099112</v>
      </c>
      <c r="AI165" s="7">
        <f t="shared" ref="AI165:AI188" ca="1" si="39">IF(AH165&lt;$D$170,1,2)</f>
        <v>1</v>
      </c>
      <c r="AJ165">
        <f t="shared" ref="AJ165:AJ188" ca="1" si="40">IF(AI165=1,-$D$171*LN(RAND()),-$D$172*LN(RAND()))</f>
        <v>99.833346393676962</v>
      </c>
    </row>
    <row r="166" spans="1:36" ht="17" x14ac:dyDescent="0.25">
      <c r="A166" s="2">
        <v>99.045977389158082</v>
      </c>
      <c r="B166" s="4" t="s">
        <v>31</v>
      </c>
      <c r="C166" s="4" t="s">
        <v>27</v>
      </c>
      <c r="D166" s="4"/>
      <c r="E166" s="4"/>
      <c r="F166" s="4"/>
      <c r="G166" s="4"/>
      <c r="H166" s="4"/>
      <c r="I166" s="4"/>
      <c r="J166" s="4"/>
      <c r="K166" s="4"/>
      <c r="L166" s="5"/>
      <c r="M166" s="4"/>
      <c r="N166">
        <v>165</v>
      </c>
      <c r="O166" s="2">
        <v>99.045977389158082</v>
      </c>
      <c r="R166" s="7">
        <f t="shared" ca="1" si="35"/>
        <v>0.74693198856460941</v>
      </c>
      <c r="S166" s="7">
        <f t="shared" ca="1" si="36"/>
        <v>2</v>
      </c>
      <c r="T166">
        <f t="shared" ca="1" si="37"/>
        <v>10.263861547944238</v>
      </c>
      <c r="X166" s="2"/>
      <c r="AA166" s="12">
        <v>0.73654096400000002</v>
      </c>
      <c r="AB166" s="12">
        <v>2</v>
      </c>
      <c r="AC166" s="3">
        <v>50.160811099999997</v>
      </c>
      <c r="AH166" s="7">
        <f t="shared" ca="1" si="38"/>
        <v>0.70085016173820069</v>
      </c>
      <c r="AI166" s="7">
        <f t="shared" ca="1" si="39"/>
        <v>2</v>
      </c>
      <c r="AJ166">
        <f t="shared" ca="1" si="40"/>
        <v>6.0401284748391397</v>
      </c>
    </row>
    <row r="167" spans="1:36" ht="17" x14ac:dyDescent="0.25">
      <c r="A167" s="2">
        <v>183.85203199017417</v>
      </c>
      <c r="L167" s="2"/>
      <c r="N167">
        <v>166</v>
      </c>
      <c r="O167" s="2">
        <v>183.85203199017417</v>
      </c>
      <c r="R167" s="7">
        <f t="shared" ca="1" si="35"/>
        <v>0.69977708017862994</v>
      </c>
      <c r="S167" s="7">
        <f t="shared" ca="1" si="36"/>
        <v>2</v>
      </c>
      <c r="T167">
        <f t="shared" ca="1" si="37"/>
        <v>13.211844364250465</v>
      </c>
      <c r="X167" s="2"/>
      <c r="AA167" s="12">
        <v>0.73654096400000002</v>
      </c>
      <c r="AB167" s="12">
        <v>2</v>
      </c>
      <c r="AC167" s="3">
        <v>50.160811099999997</v>
      </c>
      <c r="AH167" s="7">
        <f t="shared" ca="1" si="38"/>
        <v>0.75093613339730481</v>
      </c>
      <c r="AI167" s="7">
        <f t="shared" ca="1" si="39"/>
        <v>2</v>
      </c>
      <c r="AJ167">
        <f t="shared" ca="1" si="40"/>
        <v>40.711976430623366</v>
      </c>
    </row>
    <row r="168" spans="1:36" ht="17" x14ac:dyDescent="0.25">
      <c r="A168" s="2">
        <v>23.88898228370731</v>
      </c>
      <c r="L168" s="2"/>
      <c r="N168">
        <v>167</v>
      </c>
      <c r="O168" s="2">
        <v>23.88898228370731</v>
      </c>
      <c r="R168" s="7">
        <f t="shared" ca="1" si="35"/>
        <v>0.95537405003433518</v>
      </c>
      <c r="S168" s="7">
        <f t="shared" ca="1" si="36"/>
        <v>2</v>
      </c>
      <c r="T168">
        <f t="shared" ca="1" si="37"/>
        <v>92.250336057249484</v>
      </c>
      <c r="X168" s="2"/>
      <c r="AA168" s="12">
        <v>0.73654096400000002</v>
      </c>
      <c r="AB168" s="12">
        <v>2</v>
      </c>
      <c r="AC168" s="3">
        <v>50.160811099999997</v>
      </c>
      <c r="AH168" s="7">
        <f t="shared" ca="1" si="38"/>
        <v>0.26303010002230698</v>
      </c>
      <c r="AI168" s="7">
        <f t="shared" ca="1" si="39"/>
        <v>1</v>
      </c>
      <c r="AJ168">
        <f t="shared" ca="1" si="40"/>
        <v>122.74872827688245</v>
      </c>
    </row>
    <row r="169" spans="1:36" ht="17" x14ac:dyDescent="0.25">
      <c r="A169" s="2">
        <v>184.4844856425004</v>
      </c>
      <c r="C169" t="s">
        <v>93</v>
      </c>
      <c r="K169" s="7"/>
      <c r="L169" s="7"/>
      <c r="N169">
        <v>168</v>
      </c>
      <c r="O169" s="2">
        <v>184.4844856425004</v>
      </c>
      <c r="R169" s="7">
        <f t="shared" ca="1" si="35"/>
        <v>0.49065822526079084</v>
      </c>
      <c r="S169" s="7">
        <f t="shared" ca="1" si="36"/>
        <v>2</v>
      </c>
      <c r="T169">
        <f t="shared" ca="1" si="37"/>
        <v>111.95328029898052</v>
      </c>
      <c r="X169" s="2"/>
      <c r="AA169" s="12">
        <v>0.73654096400000002</v>
      </c>
      <c r="AB169" s="12">
        <v>2</v>
      </c>
      <c r="AC169" s="3">
        <v>50.160811099999997</v>
      </c>
      <c r="AH169" s="7">
        <f t="shared" ca="1" si="38"/>
        <v>0.92503283177319773</v>
      </c>
      <c r="AI169" s="7">
        <f t="shared" ca="1" si="39"/>
        <v>2</v>
      </c>
      <c r="AJ169">
        <f t="shared" ca="1" si="40"/>
        <v>242.18707223958208</v>
      </c>
    </row>
    <row r="170" spans="1:36" ht="17" x14ac:dyDescent="0.25">
      <c r="A170" s="2">
        <v>11.578491564705873</v>
      </c>
      <c r="C170" s="6" t="s">
        <v>32</v>
      </c>
      <c r="D170">
        <f>1/(1 + D29^2)</f>
        <v>0.48788616463720713</v>
      </c>
      <c r="F170" t="s">
        <v>94</v>
      </c>
      <c r="K170" s="7"/>
      <c r="L170" s="7"/>
      <c r="N170">
        <v>169</v>
      </c>
      <c r="O170" s="2">
        <v>11.578491564705873</v>
      </c>
      <c r="R170" s="7">
        <f t="shared" ca="1" si="35"/>
        <v>0.13682765222320992</v>
      </c>
      <c r="S170" s="7">
        <f t="shared" ca="1" si="36"/>
        <v>1</v>
      </c>
      <c r="T170">
        <f t="shared" ca="1" si="37"/>
        <v>174.42522888077539</v>
      </c>
      <c r="X170" s="2"/>
      <c r="AA170" s="12">
        <v>0.73654096400000002</v>
      </c>
      <c r="AB170" s="12">
        <v>2</v>
      </c>
      <c r="AC170" s="3">
        <v>50.160811099999997</v>
      </c>
      <c r="AH170" s="7">
        <f t="shared" ca="1" si="38"/>
        <v>0.10805144840433167</v>
      </c>
      <c r="AI170" s="7">
        <f t="shared" ca="1" si="39"/>
        <v>1</v>
      </c>
      <c r="AJ170">
        <f t="shared" ca="1" si="40"/>
        <v>469.60839583021374</v>
      </c>
    </row>
    <row r="171" spans="1:36" ht="17" x14ac:dyDescent="0.25">
      <c r="A171" s="2">
        <v>133.39572241283111</v>
      </c>
      <c r="C171" s="6" t="s">
        <v>33</v>
      </c>
      <c r="D171">
        <f>D8*(1+SQRT((1-D170)/(2*D170)*(D29^2-1)))</f>
        <v>145.85228843642312</v>
      </c>
      <c r="F171" t="s">
        <v>95</v>
      </c>
      <c r="K171" s="7"/>
      <c r="L171" s="7"/>
      <c r="N171">
        <v>170</v>
      </c>
      <c r="O171" s="2">
        <v>133.39572241283111</v>
      </c>
      <c r="R171" s="7">
        <f t="shared" ca="1" si="35"/>
        <v>0.35720568196890479</v>
      </c>
      <c r="S171" s="7">
        <f t="shared" ca="1" si="36"/>
        <v>1</v>
      </c>
      <c r="T171">
        <f t="shared" ca="1" si="37"/>
        <v>175.75297341082504</v>
      </c>
      <c r="X171" s="2"/>
      <c r="AA171" s="12">
        <v>0.73654096400000002</v>
      </c>
      <c r="AB171" s="12">
        <v>2</v>
      </c>
      <c r="AC171" s="3">
        <v>50.160811099999997</v>
      </c>
      <c r="AH171" s="7">
        <f t="shared" ca="1" si="38"/>
        <v>0.85950189789151743</v>
      </c>
      <c r="AI171" s="7">
        <f t="shared" ca="1" si="39"/>
        <v>2</v>
      </c>
      <c r="AJ171">
        <f t="shared" ca="1" si="40"/>
        <v>15.754962240402758</v>
      </c>
    </row>
    <row r="172" spans="1:36" ht="17" x14ac:dyDescent="0.25">
      <c r="A172" s="2">
        <v>24.377036193357036</v>
      </c>
      <c r="C172" s="6" t="s">
        <v>34</v>
      </c>
      <c r="D172">
        <f>D8*(1-SQRT(D170/(2*(1-D170))*(D29^2-1)))</f>
        <v>106.2649486979265</v>
      </c>
      <c r="K172" s="7"/>
      <c r="L172" s="7"/>
      <c r="N172">
        <v>171</v>
      </c>
      <c r="O172" s="2">
        <v>24.377036193357036</v>
      </c>
      <c r="R172" s="7">
        <f t="shared" ca="1" si="35"/>
        <v>0.74624301664940174</v>
      </c>
      <c r="S172" s="7">
        <f t="shared" ca="1" si="36"/>
        <v>2</v>
      </c>
      <c r="T172">
        <f t="shared" ca="1" si="37"/>
        <v>10.598732604826717</v>
      </c>
      <c r="X172" s="2"/>
      <c r="AA172" s="12">
        <v>0.73654096400000002</v>
      </c>
      <c r="AB172" s="12">
        <v>2</v>
      </c>
      <c r="AC172" s="3">
        <v>50.160811099999997</v>
      </c>
      <c r="AH172" s="7">
        <f t="shared" ca="1" si="38"/>
        <v>0.38486488606182945</v>
      </c>
      <c r="AI172" s="7">
        <f t="shared" ca="1" si="39"/>
        <v>1</v>
      </c>
      <c r="AJ172">
        <f t="shared" ca="1" si="40"/>
        <v>105.59432237771439</v>
      </c>
    </row>
    <row r="173" spans="1:36" ht="17" x14ac:dyDescent="0.25">
      <c r="A173" s="2">
        <v>44.392065964391762</v>
      </c>
      <c r="K173" s="7"/>
      <c r="L173" s="7"/>
      <c r="N173">
        <v>172</v>
      </c>
      <c r="O173" s="2">
        <v>44.392065964391762</v>
      </c>
      <c r="R173" s="7">
        <f t="shared" ca="1" si="35"/>
        <v>2.4079851643876937E-2</v>
      </c>
      <c r="S173" s="7">
        <f t="shared" ca="1" si="36"/>
        <v>1</v>
      </c>
      <c r="T173">
        <f t="shared" ca="1" si="37"/>
        <v>27.994320216169204</v>
      </c>
      <c r="X173" s="2"/>
      <c r="AA173" s="12">
        <v>0.73654096400000002</v>
      </c>
      <c r="AB173" s="12">
        <v>2</v>
      </c>
      <c r="AC173" s="3">
        <v>50.160811099999997</v>
      </c>
      <c r="AH173" s="7">
        <f t="shared" ca="1" si="38"/>
        <v>0.85716884321933107</v>
      </c>
      <c r="AI173" s="7">
        <f t="shared" ca="1" si="39"/>
        <v>2</v>
      </c>
      <c r="AJ173">
        <f t="shared" ca="1" si="40"/>
        <v>567.59971189515181</v>
      </c>
    </row>
    <row r="174" spans="1:36" ht="17" x14ac:dyDescent="0.25">
      <c r="A174" s="2">
        <v>171.32723577288061</v>
      </c>
      <c r="B174" s="4" t="s">
        <v>38</v>
      </c>
      <c r="C174" s="9" t="s">
        <v>39</v>
      </c>
      <c r="D174" s="4"/>
      <c r="E174" s="4"/>
      <c r="F174" s="4"/>
      <c r="G174" s="4"/>
      <c r="H174" s="4"/>
      <c r="I174" s="4"/>
      <c r="J174" s="4"/>
      <c r="K174" s="10"/>
      <c r="L174" s="10"/>
      <c r="M174" s="4"/>
      <c r="N174">
        <v>173</v>
      </c>
      <c r="O174" s="2">
        <v>171.32723577288061</v>
      </c>
      <c r="R174" s="7">
        <f t="shared" ca="1" si="35"/>
        <v>0.7516287346330851</v>
      </c>
      <c r="S174" s="7">
        <f t="shared" ca="1" si="36"/>
        <v>2</v>
      </c>
      <c r="T174">
        <f t="shared" ca="1" si="37"/>
        <v>233.66616342677838</v>
      </c>
      <c r="X174" s="2"/>
      <c r="AA174" s="12">
        <v>0.73654096400000002</v>
      </c>
      <c r="AB174" s="12">
        <v>2</v>
      </c>
      <c r="AC174" s="3">
        <v>50.160811099999997</v>
      </c>
      <c r="AH174" s="7">
        <f t="shared" ca="1" si="38"/>
        <v>0.43226904533350852</v>
      </c>
      <c r="AI174" s="7">
        <f t="shared" ca="1" si="39"/>
        <v>1</v>
      </c>
      <c r="AJ174">
        <f t="shared" ca="1" si="40"/>
        <v>68.479427561744146</v>
      </c>
    </row>
    <row r="175" spans="1:36" ht="17" x14ac:dyDescent="0.25">
      <c r="A175" s="2">
        <v>13.064641860761991</v>
      </c>
      <c r="C175" s="3" t="s">
        <v>35</v>
      </c>
      <c r="D175" s="8" t="s">
        <v>36</v>
      </c>
      <c r="E175" s="3" t="s">
        <v>37</v>
      </c>
      <c r="K175" s="7"/>
      <c r="L175" s="7"/>
      <c r="N175">
        <v>174</v>
      </c>
      <c r="O175" s="2">
        <v>13.064641860761991</v>
      </c>
      <c r="R175" s="7">
        <f t="shared" ca="1" si="35"/>
        <v>0.5380742408255702</v>
      </c>
      <c r="S175" s="7">
        <f t="shared" ca="1" si="36"/>
        <v>2</v>
      </c>
      <c r="T175">
        <f t="shared" ca="1" si="37"/>
        <v>71.638657572780048</v>
      </c>
      <c r="X175" s="2"/>
      <c r="AA175" s="12">
        <v>0.73654096400000002</v>
      </c>
      <c r="AB175" s="12">
        <v>2</v>
      </c>
      <c r="AC175" s="3">
        <v>50.160811099999997</v>
      </c>
      <c r="AH175" s="7">
        <f t="shared" ca="1" si="38"/>
        <v>0.55065349540411523</v>
      </c>
      <c r="AI175" s="7">
        <f t="shared" ca="1" si="39"/>
        <v>2</v>
      </c>
      <c r="AJ175">
        <f t="shared" ca="1" si="40"/>
        <v>312.64654994695866</v>
      </c>
    </row>
    <row r="176" spans="1:36" ht="17" x14ac:dyDescent="0.25">
      <c r="A176" s="2">
        <v>93.839514435589166</v>
      </c>
      <c r="C176" s="7">
        <f ca="1">RAND()</f>
        <v>0.38044289752520477</v>
      </c>
      <c r="D176" s="7">
        <f ca="1">IF(C176&lt;$D$170,1,2)</f>
        <v>1</v>
      </c>
      <c r="E176">
        <f ca="1">IF(D176=1,-$D$171*LN(RAND()),-$D$172*LN(RAND()))</f>
        <v>57.188725735629831</v>
      </c>
      <c r="K176" s="7"/>
      <c r="L176" s="7"/>
      <c r="N176">
        <v>175</v>
      </c>
      <c r="O176" s="2">
        <v>93.839514435589166</v>
      </c>
      <c r="R176" s="7">
        <f t="shared" ca="1" si="35"/>
        <v>7.4736988045900454E-2</v>
      </c>
      <c r="S176" s="7">
        <f t="shared" ca="1" si="36"/>
        <v>1</v>
      </c>
      <c r="T176">
        <f t="shared" ca="1" si="37"/>
        <v>135.03089805434232</v>
      </c>
      <c r="X176" s="2"/>
      <c r="AA176" s="12">
        <v>0.73654096400000002</v>
      </c>
      <c r="AB176" s="12">
        <v>2</v>
      </c>
      <c r="AC176" s="3">
        <v>50.160811099999997</v>
      </c>
      <c r="AH176" s="7">
        <f t="shared" ca="1" si="38"/>
        <v>0.39176121742323478</v>
      </c>
      <c r="AI176" s="7">
        <f t="shared" ca="1" si="39"/>
        <v>1</v>
      </c>
      <c r="AJ176">
        <f t="shared" ca="1" si="40"/>
        <v>34.591095119259641</v>
      </c>
    </row>
    <row r="177" spans="1:36" ht="17" x14ac:dyDescent="0.25">
      <c r="A177" s="2">
        <v>31.642901830388823</v>
      </c>
      <c r="K177" s="7"/>
      <c r="L177" s="7"/>
      <c r="N177">
        <v>176</v>
      </c>
      <c r="O177" s="2">
        <v>31.642901830388823</v>
      </c>
      <c r="R177" s="7">
        <f t="shared" ca="1" si="35"/>
        <v>0.11305606288994074</v>
      </c>
      <c r="S177" s="7">
        <f t="shared" ca="1" si="36"/>
        <v>1</v>
      </c>
      <c r="T177">
        <f t="shared" ca="1" si="37"/>
        <v>18.236167925640501</v>
      </c>
      <c r="X177" s="2"/>
      <c r="AA177" s="12">
        <v>0.73654096400000002</v>
      </c>
      <c r="AB177" s="12">
        <v>2</v>
      </c>
      <c r="AC177" s="3">
        <v>50.160811099999997</v>
      </c>
      <c r="AH177" s="7">
        <f t="shared" ca="1" si="38"/>
        <v>0.24329034755251078</v>
      </c>
      <c r="AI177" s="7">
        <f t="shared" ca="1" si="39"/>
        <v>1</v>
      </c>
      <c r="AJ177">
        <f t="shared" ca="1" si="40"/>
        <v>156.60435581444315</v>
      </c>
    </row>
    <row r="178" spans="1:36" ht="17" x14ac:dyDescent="0.25">
      <c r="A178" s="2">
        <v>128.38618900656519</v>
      </c>
      <c r="B178" s="4" t="s">
        <v>40</v>
      </c>
      <c r="C178" s="4" t="s">
        <v>41</v>
      </c>
      <c r="D178" s="4"/>
      <c r="E178" s="4"/>
      <c r="F178" s="4"/>
      <c r="G178" s="4"/>
      <c r="H178" s="4"/>
      <c r="I178" s="4"/>
      <c r="J178" s="4"/>
      <c r="K178" s="10"/>
      <c r="L178" s="10"/>
      <c r="M178" s="4"/>
      <c r="N178">
        <v>177</v>
      </c>
      <c r="O178" s="2">
        <v>128.38618900656519</v>
      </c>
      <c r="R178" s="7">
        <f t="shared" ca="1" si="35"/>
        <v>0.66206028643841475</v>
      </c>
      <c r="S178" s="7">
        <f t="shared" ca="1" si="36"/>
        <v>2</v>
      </c>
      <c r="T178">
        <f t="shared" ca="1" si="37"/>
        <v>3.4301832430007684</v>
      </c>
      <c r="X178" s="2"/>
      <c r="AA178" s="12">
        <v>0.73654096400000002</v>
      </c>
      <c r="AB178" s="12">
        <v>2</v>
      </c>
      <c r="AC178" s="3">
        <v>50.160811099999997</v>
      </c>
      <c r="AH178" s="7">
        <f t="shared" ca="1" si="38"/>
        <v>0.78051001113181806</v>
      </c>
      <c r="AI178" s="7">
        <f t="shared" ca="1" si="39"/>
        <v>2</v>
      </c>
      <c r="AJ178">
        <f t="shared" ca="1" si="40"/>
        <v>39.378406863346513</v>
      </c>
    </row>
    <row r="179" spans="1:36" ht="17" x14ac:dyDescent="0.25">
      <c r="A179" s="2">
        <v>224.45508351192012</v>
      </c>
      <c r="C179" t="s">
        <v>42</v>
      </c>
      <c r="K179" s="7"/>
      <c r="L179" s="7"/>
      <c r="N179">
        <v>178</v>
      </c>
      <c r="O179" s="2">
        <v>224.45508351192012</v>
      </c>
      <c r="R179" s="7">
        <f t="shared" ca="1" si="35"/>
        <v>0.287579182725197</v>
      </c>
      <c r="S179" s="7">
        <f t="shared" ca="1" si="36"/>
        <v>1</v>
      </c>
      <c r="T179">
        <f t="shared" ca="1" si="37"/>
        <v>190.02312578978666</v>
      </c>
      <c r="X179" s="2"/>
      <c r="AA179" s="12">
        <v>0.73654096400000002</v>
      </c>
      <c r="AB179" s="12">
        <v>2</v>
      </c>
      <c r="AC179" s="3">
        <v>50.160811099999997</v>
      </c>
      <c r="AH179" s="7">
        <f t="shared" ca="1" si="38"/>
        <v>0.37683654750095108</v>
      </c>
      <c r="AI179" s="7">
        <f t="shared" ca="1" si="39"/>
        <v>1</v>
      </c>
      <c r="AJ179">
        <f t="shared" ca="1" si="40"/>
        <v>163.83799645031917</v>
      </c>
    </row>
    <row r="180" spans="1:36" ht="17" x14ac:dyDescent="0.25">
      <c r="A180" s="2">
        <v>142.69661316162791</v>
      </c>
      <c r="K180" s="7"/>
      <c r="L180" s="7"/>
      <c r="N180">
        <v>179</v>
      </c>
      <c r="O180" s="2">
        <v>142.69661316162791</v>
      </c>
      <c r="R180" s="7">
        <f t="shared" ca="1" si="35"/>
        <v>0.93411265654533715</v>
      </c>
      <c r="S180" s="7">
        <f t="shared" ca="1" si="36"/>
        <v>2</v>
      </c>
      <c r="T180">
        <f t="shared" ca="1" si="37"/>
        <v>115.64398265853117</v>
      </c>
      <c r="X180" s="2"/>
      <c r="AA180" s="12">
        <v>0.73654096400000002</v>
      </c>
      <c r="AB180" s="12">
        <v>2</v>
      </c>
      <c r="AC180" s="3">
        <v>50.160811099999997</v>
      </c>
      <c r="AH180" s="7">
        <f t="shared" ca="1" si="38"/>
        <v>0.50405696080256135</v>
      </c>
      <c r="AI180" s="7">
        <f t="shared" ca="1" si="39"/>
        <v>2</v>
      </c>
      <c r="AJ180">
        <f t="shared" ca="1" si="40"/>
        <v>17.274953909701768</v>
      </c>
    </row>
    <row r="181" spans="1:36" ht="17" x14ac:dyDescent="0.25">
      <c r="A181" s="2">
        <v>90.037895254388488</v>
      </c>
      <c r="B181" s="4" t="s">
        <v>43</v>
      </c>
      <c r="C181" s="4" t="s">
        <v>11</v>
      </c>
      <c r="D181" s="4"/>
      <c r="E181" s="4"/>
      <c r="F181" s="4"/>
      <c r="G181" s="4"/>
      <c r="H181" s="4"/>
      <c r="I181" s="4"/>
      <c r="J181" s="4"/>
      <c r="K181" s="10"/>
      <c r="L181" s="10"/>
      <c r="M181" s="4"/>
      <c r="N181">
        <v>180</v>
      </c>
      <c r="O181" s="2">
        <v>90.037895254388488</v>
      </c>
      <c r="R181" s="7">
        <f t="shared" ca="1" si="35"/>
        <v>0.6226162581843796</v>
      </c>
      <c r="S181" s="7">
        <f t="shared" ca="1" si="36"/>
        <v>2</v>
      </c>
      <c r="T181">
        <f t="shared" ca="1" si="37"/>
        <v>103.91455300203681</v>
      </c>
      <c r="X181" s="2"/>
      <c r="AA181" s="12">
        <v>0.73654096400000002</v>
      </c>
      <c r="AB181" s="12">
        <v>2</v>
      </c>
      <c r="AC181" s="3">
        <v>50.160811099999997</v>
      </c>
      <c r="AH181" s="7">
        <f t="shared" ca="1" si="38"/>
        <v>0.12949572016886857</v>
      </c>
      <c r="AI181" s="7">
        <f t="shared" ca="1" si="39"/>
        <v>1</v>
      </c>
      <c r="AJ181">
        <f t="shared" ca="1" si="40"/>
        <v>351.40712521904618</v>
      </c>
    </row>
    <row r="182" spans="1:36" ht="17" x14ac:dyDescent="0.25">
      <c r="A182" s="2">
        <v>87.535155694742855</v>
      </c>
      <c r="C182" t="s">
        <v>12</v>
      </c>
      <c r="D182">
        <f ca="1">CORREL(T2:T300,T3:T301)</f>
        <v>-3.7329173747132835E-2</v>
      </c>
      <c r="K182" s="7"/>
      <c r="L182" s="7"/>
      <c r="N182">
        <v>181</v>
      </c>
      <c r="O182" s="2">
        <v>87.535155694742855</v>
      </c>
      <c r="R182" s="7">
        <f t="shared" ca="1" si="35"/>
        <v>0.57042344723277072</v>
      </c>
      <c r="S182" s="7">
        <f t="shared" ca="1" si="36"/>
        <v>2</v>
      </c>
      <c r="T182">
        <f t="shared" ca="1" si="37"/>
        <v>76.058861824896425</v>
      </c>
      <c r="X182" s="2"/>
      <c r="AA182" s="12">
        <v>0.73654096400000002</v>
      </c>
      <c r="AB182" s="12">
        <v>2</v>
      </c>
      <c r="AC182" s="3">
        <v>50.160811099999997</v>
      </c>
      <c r="AH182" s="7">
        <f t="shared" ca="1" si="38"/>
        <v>0.23773484930554589</v>
      </c>
      <c r="AI182" s="7">
        <f t="shared" ca="1" si="39"/>
        <v>1</v>
      </c>
      <c r="AJ182">
        <f t="shared" ca="1" si="40"/>
        <v>10.036699731929081</v>
      </c>
    </row>
    <row r="183" spans="1:36" ht="17" x14ac:dyDescent="0.25">
      <c r="A183" s="2">
        <v>155.45895957075049</v>
      </c>
      <c r="C183" t="s">
        <v>13</v>
      </c>
      <c r="D183">
        <f ca="1">CORREL(T2:T299,T4:T301)</f>
        <v>-4.1267536369905856E-2</v>
      </c>
      <c r="K183" s="7"/>
      <c r="L183" s="7"/>
      <c r="N183">
        <v>182</v>
      </c>
      <c r="O183" s="2">
        <v>155.45895957075049</v>
      </c>
      <c r="R183" s="7">
        <f t="shared" ca="1" si="35"/>
        <v>0.75307392893726188</v>
      </c>
      <c r="S183" s="7">
        <f t="shared" ca="1" si="36"/>
        <v>2</v>
      </c>
      <c r="T183">
        <f t="shared" ca="1" si="37"/>
        <v>97.668022505055703</v>
      </c>
      <c r="X183" s="2"/>
      <c r="AA183" s="12">
        <v>0.73654096400000002</v>
      </c>
      <c r="AB183" s="12">
        <v>2</v>
      </c>
      <c r="AC183" s="3">
        <v>50.160811099999997</v>
      </c>
      <c r="AH183" s="7">
        <f t="shared" ca="1" si="38"/>
        <v>0.97114558242863647</v>
      </c>
      <c r="AI183" s="7">
        <f t="shared" ca="1" si="39"/>
        <v>2</v>
      </c>
      <c r="AJ183">
        <f t="shared" ca="1" si="40"/>
        <v>103.00981931698274</v>
      </c>
    </row>
    <row r="184" spans="1:36" ht="17" x14ac:dyDescent="0.25">
      <c r="A184" s="2">
        <v>40.219334797700903</v>
      </c>
      <c r="C184" t="s">
        <v>14</v>
      </c>
      <c r="D184">
        <f ca="1">CORREL(T2:T298,T5:T301)</f>
        <v>3.3983548844692374E-2</v>
      </c>
      <c r="K184" s="7"/>
      <c r="L184" s="7"/>
      <c r="N184">
        <v>183</v>
      </c>
      <c r="O184" s="2">
        <v>40.219334797700903</v>
      </c>
      <c r="R184" s="7">
        <f t="shared" ca="1" si="35"/>
        <v>0.82700369893280068</v>
      </c>
      <c r="S184" s="7">
        <f t="shared" ca="1" si="36"/>
        <v>2</v>
      </c>
      <c r="T184">
        <f t="shared" ca="1" si="37"/>
        <v>17.880473445026233</v>
      </c>
      <c r="X184" s="2"/>
      <c r="AA184" s="12">
        <v>0.73654096400000002</v>
      </c>
      <c r="AB184" s="12">
        <v>2</v>
      </c>
      <c r="AC184" s="3">
        <v>50.160811099999997</v>
      </c>
      <c r="AH184" s="7">
        <f t="shared" ca="1" si="38"/>
        <v>0.64954265112630327</v>
      </c>
      <c r="AI184" s="7">
        <f t="shared" ca="1" si="39"/>
        <v>2</v>
      </c>
      <c r="AJ184">
        <f t="shared" ca="1" si="40"/>
        <v>112.66622902391693</v>
      </c>
    </row>
    <row r="185" spans="1:36" ht="17" x14ac:dyDescent="0.25">
      <c r="A185" s="2">
        <v>171.08724195391272</v>
      </c>
      <c r="C185" t="s">
        <v>15</v>
      </c>
      <c r="D185">
        <f ca="1">CORREL(T2:T297,T6:T301)</f>
        <v>2.3825719422926696E-2</v>
      </c>
      <c r="K185" s="7"/>
      <c r="L185" s="7"/>
      <c r="N185">
        <v>184</v>
      </c>
      <c r="O185" s="2">
        <v>171.08724195391272</v>
      </c>
      <c r="R185" s="7">
        <f t="shared" ca="1" si="35"/>
        <v>0.45952724862850092</v>
      </c>
      <c r="S185" s="7">
        <f t="shared" ca="1" si="36"/>
        <v>1</v>
      </c>
      <c r="T185">
        <f t="shared" ca="1" si="37"/>
        <v>15.766459977052721</v>
      </c>
      <c r="X185" s="2"/>
      <c r="AA185" s="12">
        <v>0.73654096400000002</v>
      </c>
      <c r="AB185" s="12">
        <v>2</v>
      </c>
      <c r="AC185" s="3">
        <v>50.160811099999997</v>
      </c>
      <c r="AH185" s="7">
        <f t="shared" ca="1" si="38"/>
        <v>0.98178404649991446</v>
      </c>
      <c r="AI185" s="7">
        <f t="shared" ca="1" si="39"/>
        <v>2</v>
      </c>
      <c r="AJ185">
        <f t="shared" ca="1" si="40"/>
        <v>219.98507282011212</v>
      </c>
    </row>
    <row r="186" spans="1:36" ht="17" x14ac:dyDescent="0.25">
      <c r="A186" s="2">
        <v>106.22916914875702</v>
      </c>
      <c r="C186" t="s">
        <v>16</v>
      </c>
      <c r="D186">
        <f ca="1">CORREL(T2:T296,T7:T301)</f>
        <v>4.0031876916833811E-2</v>
      </c>
      <c r="K186" s="7"/>
      <c r="L186" s="7"/>
      <c r="N186">
        <v>185</v>
      </c>
      <c r="O186" s="2">
        <v>106.22916914875702</v>
      </c>
      <c r="R186" s="7">
        <f t="shared" ca="1" si="35"/>
        <v>0.50167241482112901</v>
      </c>
      <c r="S186" s="7">
        <f t="shared" ca="1" si="36"/>
        <v>2</v>
      </c>
      <c r="T186">
        <f t="shared" ca="1" si="37"/>
        <v>181.79628238170397</v>
      </c>
      <c r="X186" s="2"/>
      <c r="AA186" s="12">
        <v>0.73654096400000002</v>
      </c>
      <c r="AB186" s="12">
        <v>2</v>
      </c>
      <c r="AC186" s="3">
        <v>50.160811099999997</v>
      </c>
      <c r="AH186" s="7">
        <f t="shared" ca="1" si="38"/>
        <v>0.37387974712578154</v>
      </c>
      <c r="AI186" s="7">
        <f t="shared" ca="1" si="39"/>
        <v>1</v>
      </c>
      <c r="AJ186">
        <f t="shared" ca="1" si="40"/>
        <v>67.295489869078054</v>
      </c>
    </row>
    <row r="187" spans="1:36" ht="17" x14ac:dyDescent="0.25">
      <c r="A187" s="2">
        <v>252.01314921114215</v>
      </c>
      <c r="C187" t="s">
        <v>17</v>
      </c>
      <c r="D187">
        <f ca="1">CORREL(T2:T295,T8:T301)</f>
        <v>-0.12672982042189068</v>
      </c>
      <c r="K187" s="7"/>
      <c r="L187" s="7"/>
      <c r="N187">
        <v>186</v>
      </c>
      <c r="O187" s="2">
        <v>252.01314921114215</v>
      </c>
      <c r="R187" s="7">
        <f t="shared" ca="1" si="35"/>
        <v>0.55984809795381318</v>
      </c>
      <c r="S187" s="7">
        <f t="shared" ca="1" si="36"/>
        <v>2</v>
      </c>
      <c r="T187">
        <f t="shared" ca="1" si="37"/>
        <v>2.5072639920481934</v>
      </c>
      <c r="X187" s="2"/>
      <c r="AA187" s="12">
        <v>0.73654096400000002</v>
      </c>
      <c r="AB187" s="12">
        <v>2</v>
      </c>
      <c r="AC187" s="3">
        <v>50.160811099999997</v>
      </c>
      <c r="AH187" s="7">
        <f t="shared" ca="1" si="38"/>
        <v>5.3514981360666569E-2</v>
      </c>
      <c r="AI187" s="7">
        <f t="shared" ca="1" si="39"/>
        <v>1</v>
      </c>
      <c r="AJ187">
        <f t="shared" ca="1" si="40"/>
        <v>41.223374073262967</v>
      </c>
    </row>
    <row r="188" spans="1:36" ht="17" x14ac:dyDescent="0.25">
      <c r="A188" s="2">
        <v>73.763214312048675</v>
      </c>
      <c r="C188" t="s">
        <v>18</v>
      </c>
      <c r="D188">
        <f ca="1">CORREL(T2:T294,T9:T301)</f>
        <v>1.3347863878834507E-2</v>
      </c>
      <c r="K188" s="7"/>
      <c r="L188" s="7"/>
      <c r="N188">
        <v>187</v>
      </c>
      <c r="O188" s="2">
        <v>73.763214312048675</v>
      </c>
      <c r="R188" s="7">
        <f t="shared" ca="1" si="35"/>
        <v>5.652303772152234E-2</v>
      </c>
      <c r="S188" s="7">
        <f t="shared" ca="1" si="36"/>
        <v>1</v>
      </c>
      <c r="T188">
        <f t="shared" ca="1" si="37"/>
        <v>272.68269471879898</v>
      </c>
      <c r="X188" s="2"/>
      <c r="AA188" s="12">
        <v>0.73654096400000002</v>
      </c>
      <c r="AB188" s="12">
        <v>2</v>
      </c>
      <c r="AC188" s="3">
        <v>50.160811099999997</v>
      </c>
      <c r="AH188" s="7">
        <f t="shared" ca="1" si="38"/>
        <v>0.94923461266099673</v>
      </c>
      <c r="AI188" s="7">
        <f t="shared" ca="1" si="39"/>
        <v>2</v>
      </c>
      <c r="AJ188">
        <f t="shared" ca="1" si="40"/>
        <v>380.73733593457098</v>
      </c>
    </row>
    <row r="189" spans="1:36" ht="17" x14ac:dyDescent="0.25">
      <c r="A189" s="2">
        <v>43.645763353560369</v>
      </c>
      <c r="C189" t="s">
        <v>19</v>
      </c>
      <c r="D189">
        <f ca="1">CORREL(T2:T293,T10:T301)</f>
        <v>-4.7889982903368634E-2</v>
      </c>
      <c r="K189" s="7"/>
      <c r="L189" s="7"/>
      <c r="N189">
        <v>188</v>
      </c>
      <c r="O189" s="2">
        <v>43.645763353560369</v>
      </c>
      <c r="R189" s="7">
        <f t="shared" ca="1" si="35"/>
        <v>0.63593370286325013</v>
      </c>
      <c r="S189" s="7">
        <f t="shared" ca="1" si="36"/>
        <v>2</v>
      </c>
      <c r="T189">
        <f t="shared" ca="1" si="37"/>
        <v>97.927240078345676</v>
      </c>
      <c r="X189" s="2"/>
      <c r="AA189" s="12">
        <v>0.73654096400000002</v>
      </c>
      <c r="AB189" s="12">
        <v>2</v>
      </c>
      <c r="AC189" s="3">
        <v>50.160811099999997</v>
      </c>
    </row>
    <row r="190" spans="1:36" ht="17" x14ac:dyDescent="0.25">
      <c r="A190" s="2">
        <v>43.095295740554135</v>
      </c>
      <c r="C190" t="s">
        <v>20</v>
      </c>
      <c r="D190">
        <f ca="1">CORREL(T2:T292,T11:T301)</f>
        <v>9.3872518007754781E-3</v>
      </c>
      <c r="K190" s="7"/>
      <c r="L190" s="7"/>
      <c r="N190">
        <v>189</v>
      </c>
      <c r="O190" s="2">
        <v>43.095295740554135</v>
      </c>
      <c r="R190" s="7">
        <f t="shared" ca="1" si="35"/>
        <v>0.3771157723200782</v>
      </c>
      <c r="S190" s="7">
        <f t="shared" ca="1" si="36"/>
        <v>1</v>
      </c>
      <c r="T190">
        <f t="shared" ca="1" si="37"/>
        <v>183.92557061977053</v>
      </c>
      <c r="X190" s="2"/>
      <c r="AA190" s="12">
        <v>0.73654096400000002</v>
      </c>
      <c r="AB190" s="12">
        <v>2</v>
      </c>
      <c r="AC190" s="3">
        <v>50.160811099999997</v>
      </c>
    </row>
    <row r="191" spans="1:36" ht="17" x14ac:dyDescent="0.25">
      <c r="A191" s="2">
        <v>110.60294599130719</v>
      </c>
      <c r="C191" t="s">
        <v>21</v>
      </c>
      <c r="D191">
        <f ca="1">CORREL(T2:T291,T12:T301)</f>
        <v>0.1852116604011651</v>
      </c>
      <c r="K191" s="7"/>
      <c r="L191" s="7"/>
      <c r="N191">
        <v>190</v>
      </c>
      <c r="O191" s="2">
        <v>110.60294599130719</v>
      </c>
      <c r="R191" s="7">
        <f t="shared" ca="1" si="35"/>
        <v>0.28064737625656522</v>
      </c>
      <c r="S191" s="7">
        <f t="shared" ca="1" si="36"/>
        <v>1</v>
      </c>
      <c r="T191">
        <f t="shared" ca="1" si="37"/>
        <v>231.81025197899055</v>
      </c>
      <c r="X191" s="2"/>
      <c r="AA191" s="12">
        <v>0.73654096400000002</v>
      </c>
      <c r="AB191" s="12">
        <v>2</v>
      </c>
      <c r="AC191" s="3">
        <v>50.160811099999997</v>
      </c>
    </row>
    <row r="192" spans="1:36" ht="17" x14ac:dyDescent="0.25">
      <c r="A192" s="2">
        <v>291.63267357444147</v>
      </c>
      <c r="C192" t="s">
        <v>22</v>
      </c>
      <c r="D192">
        <f ca="1">CORREL(T2:T290,T13:T301)</f>
        <v>-7.1267643687878232E-2</v>
      </c>
      <c r="K192" s="7"/>
      <c r="L192" s="7"/>
      <c r="N192">
        <v>191</v>
      </c>
      <c r="O192" s="2">
        <v>291.63267357444147</v>
      </c>
      <c r="R192" s="7">
        <f t="shared" ca="1" si="35"/>
        <v>0.22640853446466291</v>
      </c>
      <c r="S192" s="7">
        <f t="shared" ca="1" si="36"/>
        <v>1</v>
      </c>
      <c r="T192">
        <f t="shared" ca="1" si="37"/>
        <v>185.06801227378173</v>
      </c>
      <c r="X192" s="2"/>
      <c r="AA192" s="12">
        <v>0.73654096400000002</v>
      </c>
      <c r="AB192" s="12">
        <v>2</v>
      </c>
      <c r="AC192" s="3">
        <v>50.160811099999997</v>
      </c>
    </row>
    <row r="193" spans="1:29" ht="17" x14ac:dyDescent="0.25">
      <c r="A193" s="2">
        <v>73.757193997513312</v>
      </c>
      <c r="C193" t="s">
        <v>23</v>
      </c>
      <c r="D193">
        <f ca="1">CORREL(T2:T289,T14:T301)</f>
        <v>2.5971950584130325E-2</v>
      </c>
      <c r="K193" s="7"/>
      <c r="L193" s="7"/>
      <c r="N193">
        <v>192</v>
      </c>
      <c r="O193" s="2">
        <v>73.757193997513312</v>
      </c>
      <c r="R193" s="7">
        <f t="shared" ca="1" si="35"/>
        <v>0.70116189663626483</v>
      </c>
      <c r="S193" s="7">
        <f t="shared" ca="1" si="36"/>
        <v>2</v>
      </c>
      <c r="T193">
        <f t="shared" ca="1" si="37"/>
        <v>84.751876129866886</v>
      </c>
      <c r="X193" s="2"/>
      <c r="AA193" s="12">
        <v>0.73654096400000002</v>
      </c>
      <c r="AB193" s="12">
        <v>2</v>
      </c>
      <c r="AC193" s="3">
        <v>50.160811099999997</v>
      </c>
    </row>
    <row r="194" spans="1:29" ht="17" x14ac:dyDescent="0.25">
      <c r="A194" s="2">
        <v>129.49543766051028</v>
      </c>
      <c r="C194" t="s">
        <v>24</v>
      </c>
      <c r="D194">
        <f ca="1">CORREL(T2:T288,T15:T301)</f>
        <v>-5.7419747651984453E-2</v>
      </c>
      <c r="K194" s="7"/>
      <c r="L194" s="7"/>
      <c r="N194">
        <v>193</v>
      </c>
      <c r="O194" s="2">
        <v>129.49543766051028</v>
      </c>
      <c r="R194" s="7">
        <f t="shared" ca="1" si="35"/>
        <v>0.43811590690760827</v>
      </c>
      <c r="S194" s="7">
        <f t="shared" ca="1" si="36"/>
        <v>1</v>
      </c>
      <c r="T194">
        <f t="shared" ca="1" si="37"/>
        <v>100.25396438852101</v>
      </c>
      <c r="X194" s="2"/>
      <c r="AA194" s="12">
        <v>0.73654096400000002</v>
      </c>
      <c r="AB194" s="12">
        <v>2</v>
      </c>
      <c r="AC194" s="3">
        <v>50.160811099999997</v>
      </c>
    </row>
    <row r="195" spans="1:29" ht="17" x14ac:dyDescent="0.25">
      <c r="A195" s="2">
        <v>350.59348142890508</v>
      </c>
      <c r="C195" t="s">
        <v>25</v>
      </c>
      <c r="D195">
        <f ca="1">CORREL(T2:T287,T16:T301)</f>
        <v>-1.4518170408684217E-2</v>
      </c>
      <c r="K195" s="7"/>
      <c r="L195" s="7"/>
      <c r="N195">
        <v>194</v>
      </c>
      <c r="O195" s="2">
        <v>350.59348142890508</v>
      </c>
      <c r="R195" s="7">
        <f t="shared" ref="R195:R258" ca="1" si="41">RAND()</f>
        <v>0.43559912415402369</v>
      </c>
      <c r="S195" s="7">
        <f t="shared" ref="S195:S258" ca="1" si="42">IF(R195&lt;$D$170,1,2)</f>
        <v>1</v>
      </c>
      <c r="T195">
        <f t="shared" ref="T195:T258" ca="1" si="43">IF(S195=1,-$D$171*LN(RAND()),-$D$172*LN(RAND()))</f>
        <v>182.03707911658378</v>
      </c>
      <c r="X195" s="2"/>
      <c r="AA195" s="12">
        <v>0.73654096400000002</v>
      </c>
      <c r="AB195" s="12">
        <v>2</v>
      </c>
      <c r="AC195" s="3">
        <v>50.160811099999997</v>
      </c>
    </row>
    <row r="196" spans="1:29" ht="17" x14ac:dyDescent="0.25">
      <c r="A196" s="2">
        <v>769.17504508781462</v>
      </c>
      <c r="C196" t="s">
        <v>26</v>
      </c>
      <c r="D196">
        <f ca="1">CORREL(T2:T286,T17:T301)</f>
        <v>7.3596256502809414E-4</v>
      </c>
      <c r="K196" s="7"/>
      <c r="L196" s="7"/>
      <c r="N196">
        <v>195</v>
      </c>
      <c r="O196" s="2">
        <v>769.17504508781462</v>
      </c>
      <c r="R196" s="7">
        <f t="shared" ca="1" si="41"/>
        <v>0.2471691461076585</v>
      </c>
      <c r="S196" s="7">
        <f t="shared" ca="1" si="42"/>
        <v>1</v>
      </c>
      <c r="T196">
        <f t="shared" ca="1" si="43"/>
        <v>92.061714805564833</v>
      </c>
      <c r="X196" s="2"/>
      <c r="AA196" s="12">
        <v>0.73654096400000002</v>
      </c>
      <c r="AB196" s="12">
        <v>2</v>
      </c>
      <c r="AC196" s="3">
        <v>50.160811099999997</v>
      </c>
    </row>
    <row r="197" spans="1:29" ht="17" x14ac:dyDescent="0.25">
      <c r="A197" s="2">
        <v>225.3085592892445</v>
      </c>
      <c r="K197" s="7"/>
      <c r="L197" s="7"/>
      <c r="N197">
        <v>196</v>
      </c>
      <c r="O197" s="2">
        <v>225.3085592892445</v>
      </c>
      <c r="R197" s="7">
        <f t="shared" ca="1" si="41"/>
        <v>0.5452590565549299</v>
      </c>
      <c r="S197" s="7">
        <f t="shared" ca="1" si="42"/>
        <v>2</v>
      </c>
      <c r="T197">
        <f t="shared" ca="1" si="43"/>
        <v>49.453732818426388</v>
      </c>
      <c r="X197" s="2"/>
      <c r="AA197" s="12">
        <v>0.73654096400000002</v>
      </c>
      <c r="AB197" s="12">
        <v>2</v>
      </c>
      <c r="AC197" s="3">
        <v>50.160811099999997</v>
      </c>
    </row>
    <row r="198" spans="1:29" ht="17" x14ac:dyDescent="0.25">
      <c r="A198" s="2">
        <v>165.62871772141588</v>
      </c>
      <c r="B198" s="4" t="s">
        <v>44</v>
      </c>
      <c r="C198" s="4" t="s">
        <v>45</v>
      </c>
      <c r="D198" s="4"/>
      <c r="E198" s="4"/>
      <c r="F198" s="4"/>
      <c r="G198" s="4"/>
      <c r="H198" s="4"/>
      <c r="I198" s="4"/>
      <c r="J198" s="4"/>
      <c r="K198" s="10"/>
      <c r="L198" s="10"/>
      <c r="M198" s="4"/>
      <c r="N198">
        <v>197</v>
      </c>
      <c r="O198" s="2">
        <v>165.62871772141588</v>
      </c>
      <c r="R198" s="7">
        <f t="shared" ca="1" si="41"/>
        <v>0.23680463789612949</v>
      </c>
      <c r="S198" s="7">
        <f t="shared" ca="1" si="42"/>
        <v>1</v>
      </c>
      <c r="T198">
        <f t="shared" ca="1" si="43"/>
        <v>371.04553851572393</v>
      </c>
      <c r="X198" s="2"/>
      <c r="AA198" s="12">
        <v>0.73654096400000002</v>
      </c>
      <c r="AB198" s="12">
        <v>2</v>
      </c>
      <c r="AC198" s="3">
        <v>50.160811099999997</v>
      </c>
    </row>
    <row r="199" spans="1:29" ht="17" x14ac:dyDescent="0.25">
      <c r="A199" s="2">
        <v>245.72279590109062</v>
      </c>
      <c r="K199" s="7"/>
      <c r="L199" s="7"/>
      <c r="N199">
        <v>198</v>
      </c>
      <c r="O199" s="2">
        <v>245.72279590109062</v>
      </c>
      <c r="R199" s="7">
        <f t="shared" ca="1" si="41"/>
        <v>0.711081512258671</v>
      </c>
      <c r="S199" s="7">
        <f t="shared" ca="1" si="42"/>
        <v>2</v>
      </c>
      <c r="T199">
        <f t="shared" ca="1" si="43"/>
        <v>90.3551948498976</v>
      </c>
      <c r="X199" s="2"/>
      <c r="AA199" s="12">
        <v>0.73654096400000002</v>
      </c>
      <c r="AB199" s="12">
        <v>2</v>
      </c>
      <c r="AC199" s="3">
        <v>50.160811099999997</v>
      </c>
    </row>
    <row r="200" spans="1:29" ht="17" x14ac:dyDescent="0.25">
      <c r="A200" s="2">
        <v>26.580541012608258</v>
      </c>
      <c r="K200" s="7"/>
      <c r="L200" s="7"/>
      <c r="N200">
        <v>199</v>
      </c>
      <c r="O200" s="2">
        <v>26.580541012608258</v>
      </c>
      <c r="R200" s="7">
        <f t="shared" ca="1" si="41"/>
        <v>0.88819051839838159</v>
      </c>
      <c r="S200" s="7">
        <f t="shared" ca="1" si="42"/>
        <v>2</v>
      </c>
      <c r="T200">
        <f t="shared" ca="1" si="43"/>
        <v>192.16097006157267</v>
      </c>
      <c r="X200" s="2"/>
      <c r="AA200" s="12">
        <v>0.73654096400000002</v>
      </c>
      <c r="AB200" s="12">
        <v>2</v>
      </c>
      <c r="AC200" s="3">
        <v>50.160811099999997</v>
      </c>
    </row>
    <row r="201" spans="1:29" ht="17" x14ac:dyDescent="0.25">
      <c r="A201" s="2">
        <v>45.30415347864971</v>
      </c>
      <c r="K201" s="7"/>
      <c r="L201" s="7"/>
      <c r="N201">
        <v>200</v>
      </c>
      <c r="O201" s="2">
        <v>45.30415347864971</v>
      </c>
      <c r="R201" s="7">
        <f t="shared" ca="1" si="41"/>
        <v>0.4294272335241156</v>
      </c>
      <c r="S201" s="7">
        <f t="shared" ca="1" si="42"/>
        <v>1</v>
      </c>
      <c r="T201">
        <f t="shared" ca="1" si="43"/>
        <v>522.21784990345452</v>
      </c>
      <c r="X201" s="2"/>
      <c r="AA201" s="12">
        <v>0.73654096400000002</v>
      </c>
      <c r="AB201" s="12">
        <v>2</v>
      </c>
      <c r="AC201" s="3">
        <v>50.160811099999997</v>
      </c>
    </row>
    <row r="202" spans="1:29" ht="17" x14ac:dyDescent="0.25">
      <c r="A202" s="2">
        <v>118.90960979686301</v>
      </c>
      <c r="K202" s="7"/>
      <c r="L202" s="7"/>
      <c r="N202">
        <v>201</v>
      </c>
      <c r="O202" s="2">
        <v>118.90960979686301</v>
      </c>
      <c r="R202" s="7">
        <f t="shared" ca="1" si="41"/>
        <v>0.322003270974351</v>
      </c>
      <c r="S202" s="7">
        <f t="shared" ca="1" si="42"/>
        <v>1</v>
      </c>
      <c r="T202">
        <f t="shared" ca="1" si="43"/>
        <v>416.37628942937613</v>
      </c>
      <c r="X202" s="2"/>
      <c r="AA202" s="12">
        <v>0.73654096400000002</v>
      </c>
      <c r="AB202" s="12">
        <v>2</v>
      </c>
      <c r="AC202" s="3">
        <v>50.160811099999997</v>
      </c>
    </row>
    <row r="203" spans="1:29" ht="17" x14ac:dyDescent="0.25">
      <c r="A203" s="2">
        <v>38.047079335891851</v>
      </c>
      <c r="K203" s="7"/>
      <c r="L203" s="7"/>
      <c r="N203">
        <v>202</v>
      </c>
      <c r="O203" s="2">
        <v>38.047079335891851</v>
      </c>
      <c r="R203" s="7">
        <f t="shared" ca="1" si="41"/>
        <v>0.11618682257454949</v>
      </c>
      <c r="S203" s="7">
        <f t="shared" ca="1" si="42"/>
        <v>1</v>
      </c>
      <c r="T203">
        <f t="shared" ca="1" si="43"/>
        <v>179.17466410815953</v>
      </c>
      <c r="X203" s="2"/>
    </row>
    <row r="204" spans="1:29" ht="17" x14ac:dyDescent="0.25">
      <c r="A204" s="2">
        <v>57.41258737801477</v>
      </c>
      <c r="K204" s="7"/>
      <c r="L204" s="7"/>
      <c r="N204">
        <v>203</v>
      </c>
      <c r="O204" s="2">
        <v>57.41258737801477</v>
      </c>
      <c r="R204" s="7">
        <f t="shared" ca="1" si="41"/>
        <v>0.8360266802912838</v>
      </c>
      <c r="S204" s="7">
        <f t="shared" ca="1" si="42"/>
        <v>2</v>
      </c>
      <c r="T204">
        <f t="shared" ca="1" si="43"/>
        <v>29.027368859366902</v>
      </c>
      <c r="X204" s="2"/>
    </row>
    <row r="205" spans="1:29" ht="17" x14ac:dyDescent="0.25">
      <c r="A205" s="2">
        <v>135.16448806416983</v>
      </c>
      <c r="K205" s="7"/>
      <c r="L205" s="7"/>
      <c r="N205">
        <v>204</v>
      </c>
      <c r="O205" s="2">
        <v>135.16448806416983</v>
      </c>
      <c r="R205" s="7">
        <f t="shared" ca="1" si="41"/>
        <v>0.33099095228145992</v>
      </c>
      <c r="S205" s="7">
        <f t="shared" ca="1" si="42"/>
        <v>1</v>
      </c>
      <c r="T205">
        <f t="shared" ca="1" si="43"/>
        <v>29.962626514555883</v>
      </c>
      <c r="X205" s="2"/>
    </row>
    <row r="206" spans="1:29" ht="17" x14ac:dyDescent="0.25">
      <c r="A206" s="2">
        <v>131.46818995480405</v>
      </c>
      <c r="K206" s="7"/>
      <c r="L206" s="7"/>
      <c r="N206">
        <v>205</v>
      </c>
      <c r="O206" s="2">
        <v>131.46818995480405</v>
      </c>
      <c r="R206" s="7">
        <f t="shared" ca="1" si="41"/>
        <v>0.92709386548795691</v>
      </c>
      <c r="S206" s="7">
        <f t="shared" ca="1" si="42"/>
        <v>2</v>
      </c>
      <c r="T206">
        <f t="shared" ca="1" si="43"/>
        <v>36.094525036811966</v>
      </c>
      <c r="X206" s="2"/>
    </row>
    <row r="207" spans="1:29" ht="17" x14ac:dyDescent="0.25">
      <c r="A207" s="2">
        <v>81.94562110668889</v>
      </c>
      <c r="K207" s="7"/>
      <c r="L207" s="7"/>
      <c r="N207">
        <v>206</v>
      </c>
      <c r="O207" s="2">
        <v>81.94562110668889</v>
      </c>
      <c r="R207" s="7">
        <f t="shared" ca="1" si="41"/>
        <v>0.73633343610543511</v>
      </c>
      <c r="S207" s="7">
        <f t="shared" ca="1" si="42"/>
        <v>2</v>
      </c>
      <c r="T207">
        <f t="shared" ca="1" si="43"/>
        <v>3.1027829412796208</v>
      </c>
      <c r="X207" s="2"/>
    </row>
    <row r="208" spans="1:29" ht="17" x14ac:dyDescent="0.25">
      <c r="A208" s="2">
        <v>97.826784245544786</v>
      </c>
      <c r="K208" s="7"/>
      <c r="L208" s="7"/>
      <c r="N208">
        <v>207</v>
      </c>
      <c r="O208" s="2">
        <v>97.826784245544786</v>
      </c>
      <c r="R208" s="7">
        <f t="shared" ca="1" si="41"/>
        <v>0.94607446748226198</v>
      </c>
      <c r="S208" s="7">
        <f t="shared" ca="1" si="42"/>
        <v>2</v>
      </c>
      <c r="T208">
        <f t="shared" ca="1" si="43"/>
        <v>69.570745386962386</v>
      </c>
      <c r="X208" s="2"/>
    </row>
    <row r="209" spans="1:24" ht="17" x14ac:dyDescent="0.25">
      <c r="A209" s="2">
        <v>126.26956816069904</v>
      </c>
      <c r="K209" s="7"/>
      <c r="L209" s="7"/>
      <c r="N209">
        <v>208</v>
      </c>
      <c r="O209" s="2">
        <v>126.26956816069904</v>
      </c>
      <c r="R209" s="7">
        <f t="shared" ca="1" si="41"/>
        <v>0.96650528297181992</v>
      </c>
      <c r="S209" s="7">
        <f t="shared" ca="1" si="42"/>
        <v>2</v>
      </c>
      <c r="T209">
        <f t="shared" ca="1" si="43"/>
        <v>138.39932416026025</v>
      </c>
      <c r="X209" s="2"/>
    </row>
    <row r="210" spans="1:24" ht="17" x14ac:dyDescent="0.25">
      <c r="A210" s="2">
        <v>44.81960982575724</v>
      </c>
      <c r="K210" s="7"/>
      <c r="L210" s="7"/>
      <c r="N210">
        <v>209</v>
      </c>
      <c r="O210" s="2">
        <v>44.81960982575724</v>
      </c>
      <c r="R210" s="7">
        <f t="shared" ca="1" si="41"/>
        <v>0.40926097956852336</v>
      </c>
      <c r="S210" s="7">
        <f t="shared" ca="1" si="42"/>
        <v>1</v>
      </c>
      <c r="T210">
        <f t="shared" ca="1" si="43"/>
        <v>37.692881747517959</v>
      </c>
      <c r="X210" s="2"/>
    </row>
    <row r="211" spans="1:24" ht="17" x14ac:dyDescent="0.25">
      <c r="A211" s="2">
        <v>16.080562640431431</v>
      </c>
      <c r="K211" s="7"/>
      <c r="L211" s="7"/>
      <c r="N211">
        <v>210</v>
      </c>
      <c r="O211" s="2">
        <v>16.080562640431431</v>
      </c>
      <c r="R211" s="7">
        <f t="shared" ca="1" si="41"/>
        <v>0.29210576487138773</v>
      </c>
      <c r="S211" s="7">
        <f t="shared" ca="1" si="42"/>
        <v>1</v>
      </c>
      <c r="T211">
        <f t="shared" ca="1" si="43"/>
        <v>79.343547566521593</v>
      </c>
      <c r="X211" s="2"/>
    </row>
    <row r="212" spans="1:24" ht="17" x14ac:dyDescent="0.25">
      <c r="A212" s="2">
        <v>28.788980400813912</v>
      </c>
      <c r="K212" s="7"/>
      <c r="L212" s="7"/>
      <c r="N212">
        <v>211</v>
      </c>
      <c r="O212" s="2">
        <v>28.788980400813912</v>
      </c>
      <c r="R212" s="7">
        <f t="shared" ca="1" si="41"/>
        <v>0.1184368124859424</v>
      </c>
      <c r="S212" s="7">
        <f t="shared" ca="1" si="42"/>
        <v>1</v>
      </c>
      <c r="T212">
        <f t="shared" ca="1" si="43"/>
        <v>29.905597197300516</v>
      </c>
      <c r="X212" s="2"/>
    </row>
    <row r="213" spans="1:24" ht="17" x14ac:dyDescent="0.25">
      <c r="A213" s="2">
        <v>28.195292476600091</v>
      </c>
      <c r="K213" s="7"/>
      <c r="L213" s="7"/>
      <c r="N213">
        <v>212</v>
      </c>
      <c r="O213" s="2">
        <v>28.195292476600091</v>
      </c>
      <c r="R213" s="7">
        <f t="shared" ca="1" si="41"/>
        <v>4.2699778815317835E-2</v>
      </c>
      <c r="S213" s="7">
        <f t="shared" ca="1" si="42"/>
        <v>1</v>
      </c>
      <c r="T213">
        <f t="shared" ca="1" si="43"/>
        <v>257.30711505483413</v>
      </c>
      <c r="X213" s="2"/>
    </row>
    <row r="214" spans="1:24" ht="17" x14ac:dyDescent="0.25">
      <c r="A214" s="2">
        <v>69.369120342528191</v>
      </c>
      <c r="K214" s="7"/>
      <c r="L214" s="7"/>
      <c r="N214">
        <v>213</v>
      </c>
      <c r="O214" s="2">
        <v>69.369120342528191</v>
      </c>
      <c r="R214" s="7">
        <f t="shared" ca="1" si="41"/>
        <v>0.36990008189119916</v>
      </c>
      <c r="S214" s="7">
        <f t="shared" ca="1" si="42"/>
        <v>1</v>
      </c>
      <c r="T214">
        <f t="shared" ca="1" si="43"/>
        <v>182.07397657783127</v>
      </c>
      <c r="X214" s="2"/>
    </row>
    <row r="215" spans="1:24" ht="17" x14ac:dyDescent="0.25">
      <c r="A215" s="2">
        <v>37.123518023025539</v>
      </c>
      <c r="K215" s="7"/>
      <c r="L215" s="7"/>
      <c r="N215">
        <v>214</v>
      </c>
      <c r="O215" s="2">
        <v>37.123518023025539</v>
      </c>
      <c r="R215" s="7">
        <f t="shared" ca="1" si="41"/>
        <v>0.50957168509202788</v>
      </c>
      <c r="S215" s="7">
        <f t="shared" ca="1" si="42"/>
        <v>2</v>
      </c>
      <c r="T215">
        <f t="shared" ca="1" si="43"/>
        <v>66.890515722048633</v>
      </c>
      <c r="X215" s="2"/>
    </row>
    <row r="216" spans="1:24" ht="17" x14ac:dyDescent="0.25">
      <c r="A216" s="2">
        <v>115.67987504056327</v>
      </c>
      <c r="K216" s="7"/>
      <c r="L216" s="7"/>
      <c r="N216">
        <v>215</v>
      </c>
      <c r="O216" s="2">
        <v>115.67987504056327</v>
      </c>
      <c r="R216" s="7">
        <f t="shared" ca="1" si="41"/>
        <v>0.11528488516770152</v>
      </c>
      <c r="S216" s="7">
        <f t="shared" ca="1" si="42"/>
        <v>1</v>
      </c>
      <c r="T216">
        <f t="shared" ca="1" si="43"/>
        <v>25.355114055808855</v>
      </c>
      <c r="X216" s="2"/>
    </row>
    <row r="217" spans="1:24" ht="17" x14ac:dyDescent="0.25">
      <c r="A217" s="2">
        <v>35.004583005200047</v>
      </c>
      <c r="K217" s="7"/>
      <c r="L217" s="7"/>
      <c r="N217">
        <v>216</v>
      </c>
      <c r="O217" s="2">
        <v>35.004583005200047</v>
      </c>
      <c r="R217" s="7">
        <f t="shared" ca="1" si="41"/>
        <v>2.987332152458877E-2</v>
      </c>
      <c r="S217" s="7">
        <f t="shared" ca="1" si="42"/>
        <v>1</v>
      </c>
      <c r="T217">
        <f t="shared" ca="1" si="43"/>
        <v>320.71274561461291</v>
      </c>
      <c r="X217" s="2"/>
    </row>
    <row r="218" spans="1:24" ht="17" x14ac:dyDescent="0.25">
      <c r="A218" s="2">
        <v>342.74453091537282</v>
      </c>
      <c r="K218" s="7"/>
      <c r="L218" s="7"/>
      <c r="N218">
        <v>217</v>
      </c>
      <c r="O218" s="2">
        <v>342.74453091537282</v>
      </c>
      <c r="R218" s="7">
        <f t="shared" ca="1" si="41"/>
        <v>0.28207562408031694</v>
      </c>
      <c r="S218" s="7">
        <f t="shared" ca="1" si="42"/>
        <v>1</v>
      </c>
      <c r="T218">
        <f t="shared" ca="1" si="43"/>
        <v>62.077706509539837</v>
      </c>
      <c r="X218" s="2"/>
    </row>
    <row r="219" spans="1:24" ht="17" x14ac:dyDescent="0.25">
      <c r="A219" s="2">
        <v>15.508144055761475</v>
      </c>
      <c r="K219" s="7"/>
      <c r="L219" s="7"/>
      <c r="N219">
        <v>218</v>
      </c>
      <c r="O219" s="2">
        <v>15.508144055761475</v>
      </c>
      <c r="R219" s="7">
        <f t="shared" ca="1" si="41"/>
        <v>0.96426247972095325</v>
      </c>
      <c r="S219" s="7">
        <f t="shared" ca="1" si="42"/>
        <v>2</v>
      </c>
      <c r="T219">
        <f t="shared" ca="1" si="43"/>
        <v>28.783276691528211</v>
      </c>
      <c r="X219" s="2"/>
    </row>
    <row r="220" spans="1:24" ht="17" x14ac:dyDescent="0.25">
      <c r="A220" s="2">
        <v>29.531161856503818</v>
      </c>
      <c r="K220" s="7"/>
      <c r="L220" s="7"/>
      <c r="N220">
        <v>219</v>
      </c>
      <c r="O220" s="2">
        <v>29.531161856503818</v>
      </c>
      <c r="R220" s="7">
        <f t="shared" ca="1" si="41"/>
        <v>0.60639352821081738</v>
      </c>
      <c r="S220" s="7">
        <f t="shared" ca="1" si="42"/>
        <v>2</v>
      </c>
      <c r="T220">
        <f t="shared" ca="1" si="43"/>
        <v>144.29403834299274</v>
      </c>
      <c r="X220" s="2"/>
    </row>
    <row r="221" spans="1:24" ht="17" x14ac:dyDescent="0.25">
      <c r="A221" s="2">
        <v>444.18054735011884</v>
      </c>
      <c r="K221" s="7"/>
      <c r="L221" s="7"/>
      <c r="N221">
        <v>220</v>
      </c>
      <c r="O221" s="2">
        <v>444.18054735011884</v>
      </c>
      <c r="R221" s="7">
        <f t="shared" ca="1" si="41"/>
        <v>9.7179212382457081E-2</v>
      </c>
      <c r="S221" s="7">
        <f t="shared" ca="1" si="42"/>
        <v>1</v>
      </c>
      <c r="T221">
        <f t="shared" ca="1" si="43"/>
        <v>531.48260069034029</v>
      </c>
      <c r="X221" s="2"/>
    </row>
    <row r="222" spans="1:24" ht="17" x14ac:dyDescent="0.25">
      <c r="A222" s="2">
        <v>59.536382182393993</v>
      </c>
      <c r="K222" s="7"/>
      <c r="L222" s="7"/>
      <c r="N222">
        <v>221</v>
      </c>
      <c r="O222" s="2">
        <v>59.536382182393993</v>
      </c>
      <c r="R222" s="7">
        <f t="shared" ca="1" si="41"/>
        <v>0.99555338450800035</v>
      </c>
      <c r="S222" s="7">
        <f t="shared" ca="1" si="42"/>
        <v>2</v>
      </c>
      <c r="T222">
        <f t="shared" ca="1" si="43"/>
        <v>160.49528716435756</v>
      </c>
      <c r="X222" s="2"/>
    </row>
    <row r="223" spans="1:24" ht="17" x14ac:dyDescent="0.25">
      <c r="A223" s="2">
        <v>47.737547272049625</v>
      </c>
      <c r="K223" s="7"/>
      <c r="L223" s="7"/>
      <c r="N223">
        <v>222</v>
      </c>
      <c r="O223" s="2">
        <v>47.737547272049625</v>
      </c>
      <c r="R223" s="7">
        <f t="shared" ca="1" si="41"/>
        <v>0.10206081914347409</v>
      </c>
      <c r="S223" s="7">
        <f t="shared" ca="1" si="42"/>
        <v>1</v>
      </c>
      <c r="T223">
        <f t="shared" ca="1" si="43"/>
        <v>110.89913401457122</v>
      </c>
      <c r="X223" s="2"/>
    </row>
    <row r="224" spans="1:24" ht="17" x14ac:dyDescent="0.25">
      <c r="A224" s="2">
        <v>23.299697097393441</v>
      </c>
      <c r="K224" s="7"/>
      <c r="L224" s="7"/>
      <c r="N224">
        <v>223</v>
      </c>
      <c r="O224" s="2">
        <v>23.299697097393441</v>
      </c>
      <c r="R224" s="7">
        <f t="shared" ca="1" si="41"/>
        <v>0.39912612153030891</v>
      </c>
      <c r="S224" s="7">
        <f t="shared" ca="1" si="42"/>
        <v>1</v>
      </c>
      <c r="T224">
        <f t="shared" ca="1" si="43"/>
        <v>516.86021057161167</v>
      </c>
      <c r="X224" s="2"/>
    </row>
    <row r="225" spans="1:24" ht="17" x14ac:dyDescent="0.25">
      <c r="A225" s="2">
        <v>170.92691301962375</v>
      </c>
      <c r="K225" s="7"/>
      <c r="L225" s="7"/>
      <c r="N225">
        <v>224</v>
      </c>
      <c r="O225" s="2">
        <v>170.92691301962375</v>
      </c>
      <c r="R225" s="7">
        <f t="shared" ca="1" si="41"/>
        <v>0.82420913285731334</v>
      </c>
      <c r="S225" s="7">
        <f t="shared" ca="1" si="42"/>
        <v>2</v>
      </c>
      <c r="T225">
        <f t="shared" ca="1" si="43"/>
        <v>85.712444737361437</v>
      </c>
      <c r="X225" s="2"/>
    </row>
    <row r="226" spans="1:24" ht="17" x14ac:dyDescent="0.25">
      <c r="A226" s="2">
        <v>8.6839125771100942</v>
      </c>
      <c r="K226" s="7"/>
      <c r="L226" s="7"/>
      <c r="N226">
        <v>225</v>
      </c>
      <c r="O226" s="2">
        <v>8.6839125771100942</v>
      </c>
      <c r="R226" s="7">
        <f t="shared" ca="1" si="41"/>
        <v>0.35816196457320182</v>
      </c>
      <c r="S226" s="7">
        <f t="shared" ca="1" si="42"/>
        <v>1</v>
      </c>
      <c r="T226">
        <f t="shared" ca="1" si="43"/>
        <v>132.99450971916687</v>
      </c>
      <c r="X226" s="2"/>
    </row>
    <row r="227" spans="1:24" ht="17" x14ac:dyDescent="0.25">
      <c r="A227" s="2">
        <v>26.399172109447807</v>
      </c>
      <c r="K227" s="7"/>
      <c r="L227" s="7"/>
      <c r="N227">
        <v>226</v>
      </c>
      <c r="O227" s="2">
        <v>26.399172109447807</v>
      </c>
      <c r="R227" s="7">
        <f t="shared" ca="1" si="41"/>
        <v>0.60150062350976086</v>
      </c>
      <c r="S227" s="7">
        <f t="shared" ca="1" si="42"/>
        <v>2</v>
      </c>
      <c r="T227">
        <f t="shared" ca="1" si="43"/>
        <v>82.172894535294859</v>
      </c>
      <c r="X227" s="2"/>
    </row>
    <row r="228" spans="1:24" ht="17" x14ac:dyDescent="0.25">
      <c r="A228" s="2">
        <v>37.034594603104232</v>
      </c>
      <c r="K228" s="7"/>
      <c r="L228" s="7"/>
      <c r="N228">
        <v>227</v>
      </c>
      <c r="O228" s="2">
        <v>37.034594603104232</v>
      </c>
      <c r="R228" s="7">
        <f t="shared" ca="1" si="41"/>
        <v>0.23384654913619907</v>
      </c>
      <c r="S228" s="7">
        <f t="shared" ca="1" si="42"/>
        <v>1</v>
      </c>
      <c r="T228">
        <f t="shared" ca="1" si="43"/>
        <v>140.45623328309475</v>
      </c>
      <c r="X228" s="2"/>
    </row>
    <row r="229" spans="1:24" ht="17" x14ac:dyDescent="0.25">
      <c r="A229" s="2">
        <v>53.092260267009337</v>
      </c>
      <c r="K229" s="7"/>
      <c r="L229" s="7"/>
      <c r="N229">
        <v>228</v>
      </c>
      <c r="O229" s="2">
        <v>53.092260267009337</v>
      </c>
      <c r="R229" s="7">
        <f t="shared" ca="1" si="41"/>
        <v>0.62024318280376878</v>
      </c>
      <c r="S229" s="7">
        <f t="shared" ca="1" si="42"/>
        <v>2</v>
      </c>
      <c r="T229">
        <f t="shared" ca="1" si="43"/>
        <v>14.927640869824582</v>
      </c>
      <c r="X229" s="2"/>
    </row>
    <row r="230" spans="1:24" ht="17" x14ac:dyDescent="0.25">
      <c r="A230" s="2">
        <v>83.534912232571486</v>
      </c>
      <c r="K230" s="7"/>
      <c r="L230" s="7"/>
      <c r="N230">
        <v>229</v>
      </c>
      <c r="O230" s="2">
        <v>83.534912232571486</v>
      </c>
      <c r="R230" s="7">
        <f t="shared" ca="1" si="41"/>
        <v>0.83895495672122933</v>
      </c>
      <c r="S230" s="7">
        <f t="shared" ca="1" si="42"/>
        <v>2</v>
      </c>
      <c r="T230">
        <f t="shared" ca="1" si="43"/>
        <v>57.072509941805762</v>
      </c>
      <c r="X230" s="2"/>
    </row>
    <row r="231" spans="1:24" ht="17" x14ac:dyDescent="0.25">
      <c r="A231" s="2">
        <v>18.398087484289249</v>
      </c>
      <c r="K231" s="7"/>
      <c r="L231" s="7"/>
      <c r="N231">
        <v>230</v>
      </c>
      <c r="O231" s="2">
        <v>18.398087484289249</v>
      </c>
      <c r="R231" s="7">
        <f t="shared" ca="1" si="41"/>
        <v>0.13636733778905497</v>
      </c>
      <c r="S231" s="7">
        <f t="shared" ca="1" si="42"/>
        <v>1</v>
      </c>
      <c r="T231">
        <f t="shared" ca="1" si="43"/>
        <v>120.85609434098862</v>
      </c>
      <c r="X231" s="2"/>
    </row>
    <row r="232" spans="1:24" ht="17" x14ac:dyDescent="0.25">
      <c r="A232" s="2">
        <v>144.75246078599798</v>
      </c>
      <c r="K232" s="7"/>
      <c r="L232" s="7"/>
      <c r="N232">
        <v>231</v>
      </c>
      <c r="O232" s="2">
        <v>144.75246078599798</v>
      </c>
      <c r="R232" s="7">
        <f t="shared" ca="1" si="41"/>
        <v>0.11410223366537153</v>
      </c>
      <c r="S232" s="7">
        <f t="shared" ca="1" si="42"/>
        <v>1</v>
      </c>
      <c r="T232">
        <f t="shared" ca="1" si="43"/>
        <v>96.109309328053556</v>
      </c>
      <c r="X232" s="2"/>
    </row>
    <row r="233" spans="1:24" ht="17" x14ac:dyDescent="0.25">
      <c r="A233" s="2">
        <v>118.45016727615257</v>
      </c>
      <c r="K233" s="7"/>
      <c r="L233" s="7"/>
      <c r="N233">
        <v>232</v>
      </c>
      <c r="O233" s="2">
        <v>118.45016727615257</v>
      </c>
      <c r="R233" s="7">
        <f t="shared" ca="1" si="41"/>
        <v>0.91638365075645589</v>
      </c>
      <c r="S233" s="7">
        <f t="shared" ca="1" si="42"/>
        <v>2</v>
      </c>
      <c r="T233">
        <f t="shared" ca="1" si="43"/>
        <v>148.94069296921947</v>
      </c>
      <c r="X233" s="2"/>
    </row>
    <row r="234" spans="1:24" ht="17" x14ac:dyDescent="0.25">
      <c r="A234" s="2">
        <v>193.9355950588162</v>
      </c>
      <c r="K234" s="7"/>
      <c r="L234" s="7"/>
      <c r="N234">
        <v>233</v>
      </c>
      <c r="O234" s="2">
        <v>193.9355950588162</v>
      </c>
      <c r="R234" s="7">
        <f t="shared" ca="1" si="41"/>
        <v>0.15017329212705166</v>
      </c>
      <c r="S234" s="7">
        <f t="shared" ca="1" si="42"/>
        <v>1</v>
      </c>
      <c r="T234">
        <f t="shared" ca="1" si="43"/>
        <v>445.22660552522512</v>
      </c>
      <c r="X234" s="2"/>
    </row>
    <row r="235" spans="1:24" ht="17" x14ac:dyDescent="0.25">
      <c r="A235" s="2">
        <v>304.43177048197674</v>
      </c>
      <c r="K235" s="7"/>
      <c r="L235" s="7"/>
      <c r="N235">
        <v>234</v>
      </c>
      <c r="O235" s="2">
        <v>304.43177048197674</v>
      </c>
      <c r="R235" s="7">
        <f t="shared" ca="1" si="41"/>
        <v>0.36102122796876479</v>
      </c>
      <c r="S235" s="7">
        <f t="shared" ca="1" si="42"/>
        <v>1</v>
      </c>
      <c r="T235">
        <f t="shared" ca="1" si="43"/>
        <v>149.15463606238532</v>
      </c>
      <c r="X235" s="2"/>
    </row>
    <row r="236" spans="1:24" ht="17" x14ac:dyDescent="0.25">
      <c r="A236" s="2">
        <v>7.1012002151719278</v>
      </c>
      <c r="K236" s="7"/>
      <c r="L236" s="7"/>
      <c r="N236">
        <v>235</v>
      </c>
      <c r="O236" s="2">
        <v>7.1012002151719278</v>
      </c>
      <c r="R236" s="7">
        <f t="shared" ca="1" si="41"/>
        <v>0.30402943129186877</v>
      </c>
      <c r="S236" s="7">
        <f t="shared" ca="1" si="42"/>
        <v>1</v>
      </c>
      <c r="T236">
        <f t="shared" ca="1" si="43"/>
        <v>56.084427274452935</v>
      </c>
      <c r="X236" s="2"/>
    </row>
    <row r="237" spans="1:24" ht="17" x14ac:dyDescent="0.25">
      <c r="A237" s="2">
        <v>11.369374749479281</v>
      </c>
      <c r="K237" s="7"/>
      <c r="L237" s="7"/>
      <c r="N237">
        <v>236</v>
      </c>
      <c r="O237" s="2">
        <v>11.369374749479281</v>
      </c>
      <c r="R237" s="7">
        <f t="shared" ca="1" si="41"/>
        <v>0.93926643813487765</v>
      </c>
      <c r="S237" s="7">
        <f t="shared" ca="1" si="42"/>
        <v>2</v>
      </c>
      <c r="T237">
        <f t="shared" ca="1" si="43"/>
        <v>93.145201644603432</v>
      </c>
      <c r="X237" s="2"/>
    </row>
    <row r="238" spans="1:24" ht="17" x14ac:dyDescent="0.25">
      <c r="A238" s="2">
        <v>118.08765728526878</v>
      </c>
      <c r="K238" s="7"/>
      <c r="L238" s="7"/>
      <c r="N238">
        <v>237</v>
      </c>
      <c r="O238" s="2">
        <v>118.08765728526878</v>
      </c>
      <c r="R238" s="7">
        <f t="shared" ca="1" si="41"/>
        <v>0.57640281713158525</v>
      </c>
      <c r="S238" s="7">
        <f t="shared" ca="1" si="42"/>
        <v>2</v>
      </c>
      <c r="T238">
        <f t="shared" ca="1" si="43"/>
        <v>401.54802955666696</v>
      </c>
      <c r="X238" s="2"/>
    </row>
    <row r="239" spans="1:24" ht="17" x14ac:dyDescent="0.25">
      <c r="A239" s="2">
        <v>40.189256862037325</v>
      </c>
      <c r="K239" s="7"/>
      <c r="L239" s="7"/>
      <c r="N239">
        <v>238</v>
      </c>
      <c r="O239" s="2">
        <v>40.189256862037325</v>
      </c>
      <c r="R239" s="7">
        <f t="shared" ca="1" si="41"/>
        <v>0.33884969605291848</v>
      </c>
      <c r="S239" s="7">
        <f t="shared" ca="1" si="42"/>
        <v>1</v>
      </c>
      <c r="T239">
        <f t="shared" ca="1" si="43"/>
        <v>390.54933887506809</v>
      </c>
      <c r="X239" s="2"/>
    </row>
    <row r="240" spans="1:24" ht="17" x14ac:dyDescent="0.25">
      <c r="A240" s="2">
        <v>46.841383819137533</v>
      </c>
      <c r="K240" s="7"/>
      <c r="L240" s="7"/>
      <c r="N240">
        <v>239</v>
      </c>
      <c r="O240" s="2">
        <v>46.841383819137533</v>
      </c>
      <c r="R240" s="7">
        <f t="shared" ca="1" si="41"/>
        <v>0.52989672896701889</v>
      </c>
      <c r="S240" s="7">
        <f t="shared" ca="1" si="42"/>
        <v>2</v>
      </c>
      <c r="T240">
        <f t="shared" ca="1" si="43"/>
        <v>84.408620131068417</v>
      </c>
      <c r="X240" s="2"/>
    </row>
    <row r="241" spans="1:24" ht="17" x14ac:dyDescent="0.25">
      <c r="A241" s="2">
        <v>30.451948921058445</v>
      </c>
      <c r="K241" s="7"/>
      <c r="L241" s="7"/>
      <c r="N241">
        <v>240</v>
      </c>
      <c r="O241" s="2">
        <v>30.451948921058445</v>
      </c>
      <c r="R241" s="7">
        <f t="shared" ca="1" si="41"/>
        <v>0.78513590876738315</v>
      </c>
      <c r="S241" s="7">
        <f t="shared" ca="1" si="42"/>
        <v>2</v>
      </c>
      <c r="T241">
        <f t="shared" ca="1" si="43"/>
        <v>137.32820677242245</v>
      </c>
      <c r="X241" s="2"/>
    </row>
    <row r="242" spans="1:24" ht="17" x14ac:dyDescent="0.25">
      <c r="A242" s="2">
        <v>43.464237335871985</v>
      </c>
      <c r="K242" s="7"/>
      <c r="L242" s="7"/>
      <c r="N242">
        <v>241</v>
      </c>
      <c r="O242" s="2">
        <v>43.464237335871985</v>
      </c>
      <c r="R242" s="7">
        <f t="shared" ca="1" si="41"/>
        <v>5.8278690785919629E-2</v>
      </c>
      <c r="S242" s="7">
        <f t="shared" ca="1" si="42"/>
        <v>1</v>
      </c>
      <c r="T242">
        <f t="shared" ca="1" si="43"/>
        <v>321.67837215761978</v>
      </c>
      <c r="X242" s="2"/>
    </row>
    <row r="243" spans="1:24" ht="17" x14ac:dyDescent="0.25">
      <c r="A243" s="2">
        <v>39.142441190209311</v>
      </c>
      <c r="K243" s="7"/>
      <c r="L243" s="7"/>
      <c r="N243">
        <v>242</v>
      </c>
      <c r="O243" s="2">
        <v>39.142441190209311</v>
      </c>
      <c r="R243" s="7">
        <f t="shared" ca="1" si="41"/>
        <v>0.1506306037038917</v>
      </c>
      <c r="S243" s="7">
        <f t="shared" ca="1" si="42"/>
        <v>1</v>
      </c>
      <c r="T243">
        <f t="shared" ca="1" si="43"/>
        <v>135.655722348544</v>
      </c>
      <c r="X243" s="2"/>
    </row>
    <row r="244" spans="1:24" ht="17" x14ac:dyDescent="0.25">
      <c r="A244" s="2">
        <v>20.734265595828852</v>
      </c>
      <c r="B244" s="4" t="s">
        <v>58</v>
      </c>
      <c r="C244" s="4" t="s">
        <v>59</v>
      </c>
      <c r="D244" s="4"/>
      <c r="E244" s="4"/>
      <c r="F244" s="4"/>
      <c r="G244" s="4"/>
      <c r="H244" s="4"/>
      <c r="I244" s="4"/>
      <c r="J244" s="4"/>
      <c r="K244" s="10"/>
      <c r="L244" s="10"/>
      <c r="M244" s="4"/>
      <c r="N244">
        <v>243</v>
      </c>
      <c r="O244" s="2">
        <v>20.734265595828852</v>
      </c>
      <c r="R244" s="7">
        <f t="shared" ca="1" si="41"/>
        <v>0.74547984689028113</v>
      </c>
      <c r="S244" s="7">
        <f t="shared" ca="1" si="42"/>
        <v>2</v>
      </c>
      <c r="T244">
        <f t="shared" ca="1" si="43"/>
        <v>108.37785903736365</v>
      </c>
      <c r="X244" s="2"/>
    </row>
    <row r="245" spans="1:24" ht="17" x14ac:dyDescent="0.25">
      <c r="A245" s="2">
        <v>210.47876177571914</v>
      </c>
      <c r="C245">
        <f ca="1">CORREL(O2:O301,T2:T301)</f>
        <v>6.9120780909372348E-2</v>
      </c>
      <c r="D245" t="s">
        <v>97</v>
      </c>
      <c r="K245" s="7"/>
      <c r="L245" s="7"/>
      <c r="N245">
        <v>244</v>
      </c>
      <c r="O245" s="2">
        <v>210.47876177571914</v>
      </c>
      <c r="R245" s="7">
        <f t="shared" ca="1" si="41"/>
        <v>0.8632606414054349</v>
      </c>
      <c r="S245" s="7">
        <f t="shared" ca="1" si="42"/>
        <v>2</v>
      </c>
      <c r="T245">
        <f t="shared" ca="1" si="43"/>
        <v>148.3285714603926</v>
      </c>
      <c r="X245" s="2"/>
    </row>
    <row r="246" spans="1:24" ht="17" x14ac:dyDescent="0.25">
      <c r="A246" s="2">
        <v>1.883497107730592</v>
      </c>
      <c r="K246" s="7"/>
      <c r="L246" s="7"/>
      <c r="N246">
        <v>245</v>
      </c>
      <c r="O246" s="2">
        <v>1.883497107730592</v>
      </c>
      <c r="R246" s="7">
        <f t="shared" ca="1" si="41"/>
        <v>0.19787707215373485</v>
      </c>
      <c r="S246" s="7">
        <f t="shared" ca="1" si="42"/>
        <v>1</v>
      </c>
      <c r="T246">
        <f t="shared" ca="1" si="43"/>
        <v>107.42257361771175</v>
      </c>
      <c r="X246" s="2"/>
    </row>
    <row r="247" spans="1:24" ht="17" x14ac:dyDescent="0.25">
      <c r="A247" s="2">
        <v>9.2037447751169115</v>
      </c>
      <c r="C247" t="s">
        <v>96</v>
      </c>
      <c r="K247" s="7"/>
      <c r="L247" s="7"/>
      <c r="N247">
        <v>246</v>
      </c>
      <c r="O247" s="2">
        <v>9.2037447751169115</v>
      </c>
      <c r="R247" s="7">
        <f t="shared" ca="1" si="41"/>
        <v>0.55297475301121057</v>
      </c>
      <c r="S247" s="7">
        <f t="shared" ca="1" si="42"/>
        <v>2</v>
      </c>
      <c r="T247">
        <f t="shared" ca="1" si="43"/>
        <v>40.298590735097541</v>
      </c>
      <c r="X247" s="2"/>
    </row>
    <row r="248" spans="1:24" ht="17" x14ac:dyDescent="0.25">
      <c r="A248" s="2">
        <v>24.066087648355413</v>
      </c>
      <c r="K248" s="7"/>
      <c r="L248" s="7"/>
      <c r="N248">
        <v>247</v>
      </c>
      <c r="O248" s="2">
        <v>24.066087648355413</v>
      </c>
      <c r="R248" s="7">
        <f t="shared" ca="1" si="41"/>
        <v>0.23172716215313949</v>
      </c>
      <c r="S248" s="7">
        <f t="shared" ca="1" si="42"/>
        <v>1</v>
      </c>
      <c r="T248">
        <f t="shared" ca="1" si="43"/>
        <v>44.36167904401254</v>
      </c>
      <c r="X248" s="2"/>
    </row>
    <row r="249" spans="1:24" ht="17" x14ac:dyDescent="0.25">
      <c r="A249" s="2">
        <v>133.69193534647226</v>
      </c>
      <c r="K249" s="7"/>
      <c r="L249" s="7"/>
      <c r="N249">
        <v>248</v>
      </c>
      <c r="O249" s="2">
        <v>133.69193534647226</v>
      </c>
      <c r="R249" s="7">
        <f t="shared" ca="1" si="41"/>
        <v>0.86525802004251662</v>
      </c>
      <c r="S249" s="7">
        <f t="shared" ca="1" si="42"/>
        <v>2</v>
      </c>
      <c r="T249">
        <f t="shared" ca="1" si="43"/>
        <v>98.994882873743677</v>
      </c>
      <c r="X249" s="2"/>
    </row>
    <row r="250" spans="1:24" ht="17" x14ac:dyDescent="0.25">
      <c r="A250" s="2">
        <v>114.35169383521625</v>
      </c>
      <c r="K250" s="7"/>
      <c r="L250" s="7"/>
      <c r="N250">
        <v>249</v>
      </c>
      <c r="O250" s="2">
        <v>114.35169383521625</v>
      </c>
      <c r="R250" s="7">
        <f t="shared" ca="1" si="41"/>
        <v>0.92967377373232474</v>
      </c>
      <c r="S250" s="7">
        <f t="shared" ca="1" si="42"/>
        <v>2</v>
      </c>
      <c r="T250">
        <f t="shared" ca="1" si="43"/>
        <v>11.101254199232512</v>
      </c>
      <c r="X250" s="2"/>
    </row>
    <row r="251" spans="1:24" ht="17" x14ac:dyDescent="0.25">
      <c r="A251" s="2">
        <v>223.21142602723802</v>
      </c>
      <c r="K251" s="7"/>
      <c r="L251" s="7"/>
      <c r="N251">
        <v>250</v>
      </c>
      <c r="O251" s="2">
        <v>223.21142602723802</v>
      </c>
      <c r="R251" s="7">
        <f t="shared" ca="1" si="41"/>
        <v>0.49027095272495513</v>
      </c>
      <c r="S251" s="7">
        <f t="shared" ca="1" si="42"/>
        <v>2</v>
      </c>
      <c r="T251">
        <f t="shared" ca="1" si="43"/>
        <v>8.1337824383902309</v>
      </c>
      <c r="X251" s="2"/>
    </row>
    <row r="252" spans="1:24" ht="17" x14ac:dyDescent="0.25">
      <c r="A252" s="2">
        <v>215.44651148567459</v>
      </c>
      <c r="K252" s="7"/>
      <c r="L252" s="7"/>
      <c r="N252">
        <v>251</v>
      </c>
      <c r="O252" s="2">
        <v>215.44651148567459</v>
      </c>
      <c r="R252" s="7">
        <f t="shared" ca="1" si="41"/>
        <v>0.1296321542734219</v>
      </c>
      <c r="S252" s="7">
        <f t="shared" ca="1" si="42"/>
        <v>1</v>
      </c>
      <c r="T252">
        <f t="shared" ca="1" si="43"/>
        <v>62.76812255313817</v>
      </c>
      <c r="X252" s="2"/>
    </row>
    <row r="253" spans="1:24" ht="17" x14ac:dyDescent="0.25">
      <c r="A253" s="2">
        <v>207.87803466638113</v>
      </c>
      <c r="K253" s="7"/>
      <c r="L253" s="7"/>
      <c r="N253">
        <v>252</v>
      </c>
      <c r="O253" s="2">
        <v>207.87803466638113</v>
      </c>
      <c r="R253" s="7">
        <f t="shared" ca="1" si="41"/>
        <v>1.1239674050080861E-3</v>
      </c>
      <c r="S253" s="7">
        <f t="shared" ca="1" si="42"/>
        <v>1</v>
      </c>
      <c r="T253">
        <f t="shared" ca="1" si="43"/>
        <v>204.34486267543929</v>
      </c>
      <c r="X253" s="2"/>
    </row>
    <row r="254" spans="1:24" ht="17" x14ac:dyDescent="0.25">
      <c r="A254" s="2">
        <v>22.233098497470532</v>
      </c>
      <c r="K254" s="7"/>
      <c r="L254" s="7"/>
      <c r="N254">
        <v>253</v>
      </c>
      <c r="O254" s="2">
        <v>22.233098497470532</v>
      </c>
      <c r="R254" s="7">
        <f t="shared" ca="1" si="41"/>
        <v>0.8257148398469033</v>
      </c>
      <c r="S254" s="7">
        <f t="shared" ca="1" si="42"/>
        <v>2</v>
      </c>
      <c r="T254">
        <f t="shared" ca="1" si="43"/>
        <v>18.794083129254052</v>
      </c>
      <c r="X254" s="2"/>
    </row>
    <row r="255" spans="1:24" ht="17" x14ac:dyDescent="0.25">
      <c r="A255" s="2">
        <v>9.0461637582832761</v>
      </c>
      <c r="K255" s="7"/>
      <c r="L255" s="7"/>
      <c r="N255">
        <v>254</v>
      </c>
      <c r="O255" s="2">
        <v>9.0461637582832761</v>
      </c>
      <c r="R255" s="7">
        <f t="shared" ca="1" si="41"/>
        <v>0.51434342264428601</v>
      </c>
      <c r="S255" s="7">
        <f t="shared" ca="1" si="42"/>
        <v>2</v>
      </c>
      <c r="T255">
        <f t="shared" ca="1" si="43"/>
        <v>29.844821039187774</v>
      </c>
      <c r="X255" s="2"/>
    </row>
    <row r="256" spans="1:24" ht="17" x14ac:dyDescent="0.25">
      <c r="A256" s="2">
        <v>127.32387431418063</v>
      </c>
      <c r="K256" s="7"/>
      <c r="L256" s="7"/>
      <c r="N256">
        <v>255</v>
      </c>
      <c r="O256" s="2">
        <v>127.32387431418063</v>
      </c>
      <c r="R256" s="7">
        <f t="shared" ca="1" si="41"/>
        <v>4.2451263427381036E-2</v>
      </c>
      <c r="S256" s="7">
        <f t="shared" ca="1" si="42"/>
        <v>1</v>
      </c>
      <c r="T256">
        <f t="shared" ca="1" si="43"/>
        <v>25.362705647899009</v>
      </c>
      <c r="X256" s="2"/>
    </row>
    <row r="257" spans="1:24" ht="17" x14ac:dyDescent="0.25">
      <c r="A257" s="2">
        <v>656.41769516558827</v>
      </c>
      <c r="K257" s="7"/>
      <c r="L257" s="7"/>
      <c r="N257">
        <v>256</v>
      </c>
      <c r="O257" s="2">
        <v>656.41769516558827</v>
      </c>
      <c r="R257" s="7">
        <f t="shared" ca="1" si="41"/>
        <v>0.82494914372902439</v>
      </c>
      <c r="S257" s="7">
        <f t="shared" ca="1" si="42"/>
        <v>2</v>
      </c>
      <c r="T257">
        <f t="shared" ca="1" si="43"/>
        <v>106.78744171574718</v>
      </c>
      <c r="X257" s="2"/>
    </row>
    <row r="258" spans="1:24" ht="17" x14ac:dyDescent="0.25">
      <c r="A258" s="2">
        <v>141.92067574530108</v>
      </c>
      <c r="K258" s="7"/>
      <c r="L258" s="7"/>
      <c r="N258">
        <v>257</v>
      </c>
      <c r="O258" s="2">
        <v>141.92067574530108</v>
      </c>
      <c r="R258" s="7">
        <f t="shared" ca="1" si="41"/>
        <v>0.65645555394039068</v>
      </c>
      <c r="S258" s="7">
        <f t="shared" ca="1" si="42"/>
        <v>2</v>
      </c>
      <c r="T258">
        <f t="shared" ca="1" si="43"/>
        <v>4.1674976323085424</v>
      </c>
      <c r="X258" s="2"/>
    </row>
    <row r="259" spans="1:24" ht="17" x14ac:dyDescent="0.25">
      <c r="A259" s="2">
        <v>93.397088669048031</v>
      </c>
      <c r="K259" s="7"/>
      <c r="L259" s="7"/>
      <c r="N259">
        <v>258</v>
      </c>
      <c r="O259" s="2">
        <v>93.397088669048031</v>
      </c>
      <c r="R259" s="7">
        <f t="shared" ref="R259:R301" ca="1" si="44">RAND()</f>
        <v>0.51030994256190287</v>
      </c>
      <c r="S259" s="7">
        <f t="shared" ref="S259:S301" ca="1" si="45">IF(R259&lt;$D$170,1,2)</f>
        <v>2</v>
      </c>
      <c r="T259">
        <f t="shared" ref="T259:T301" ca="1" si="46">IF(S259=1,-$D$171*LN(RAND()),-$D$172*LN(RAND()))</f>
        <v>53.183635639414454</v>
      </c>
      <c r="X259" s="2"/>
    </row>
    <row r="260" spans="1:24" ht="17" x14ac:dyDescent="0.25">
      <c r="A260" s="2">
        <v>69.20099034835259</v>
      </c>
      <c r="K260" s="7"/>
      <c r="L260" s="7"/>
      <c r="N260">
        <v>259</v>
      </c>
      <c r="O260" s="2">
        <v>69.20099034835259</v>
      </c>
      <c r="R260" s="7">
        <f t="shared" ca="1" si="44"/>
        <v>0.36449811788854503</v>
      </c>
      <c r="S260" s="7">
        <f t="shared" ca="1" si="45"/>
        <v>1</v>
      </c>
      <c r="T260">
        <f t="shared" ca="1" si="46"/>
        <v>18.896629368302285</v>
      </c>
      <c r="X260" s="2"/>
    </row>
    <row r="261" spans="1:24" ht="17" x14ac:dyDescent="0.25">
      <c r="A261" s="2">
        <v>249.59682557196234</v>
      </c>
      <c r="K261" s="7"/>
      <c r="L261" s="7"/>
      <c r="N261">
        <v>260</v>
      </c>
      <c r="O261" s="2">
        <v>249.59682557196234</v>
      </c>
      <c r="R261" s="7">
        <f t="shared" ca="1" si="44"/>
        <v>0.18794003034277496</v>
      </c>
      <c r="S261" s="7">
        <f t="shared" ca="1" si="45"/>
        <v>1</v>
      </c>
      <c r="T261">
        <f t="shared" ca="1" si="46"/>
        <v>30.273698740851984</v>
      </c>
      <c r="X261" s="2"/>
    </row>
    <row r="262" spans="1:24" ht="17" x14ac:dyDescent="0.25">
      <c r="A262" s="2">
        <v>78.919413064617217</v>
      </c>
      <c r="K262" s="7"/>
      <c r="L262" s="7"/>
      <c r="N262">
        <v>261</v>
      </c>
      <c r="O262" s="2">
        <v>78.919413064617217</v>
      </c>
      <c r="R262" s="7">
        <f t="shared" ca="1" si="44"/>
        <v>0.27870704181554384</v>
      </c>
      <c r="S262" s="7">
        <f t="shared" ca="1" si="45"/>
        <v>1</v>
      </c>
      <c r="T262">
        <f t="shared" ca="1" si="46"/>
        <v>14.296781080285758</v>
      </c>
      <c r="X262" s="2"/>
    </row>
    <row r="263" spans="1:24" ht="17" x14ac:dyDescent="0.25">
      <c r="A263" s="2">
        <v>29.434231172172765</v>
      </c>
      <c r="K263" s="7"/>
      <c r="L263" s="7"/>
      <c r="N263">
        <v>262</v>
      </c>
      <c r="O263" s="2">
        <v>29.434231172172765</v>
      </c>
      <c r="R263" s="7">
        <f t="shared" ca="1" si="44"/>
        <v>0.90362549496846623</v>
      </c>
      <c r="S263" s="7">
        <f t="shared" ca="1" si="45"/>
        <v>2</v>
      </c>
      <c r="T263">
        <f t="shared" ca="1" si="46"/>
        <v>11.007271214197335</v>
      </c>
      <c r="X263" s="2"/>
    </row>
    <row r="264" spans="1:24" ht="17" x14ac:dyDescent="0.25">
      <c r="A264" s="2">
        <v>343.39343676691453</v>
      </c>
      <c r="K264" s="7"/>
      <c r="L264" s="7"/>
      <c r="N264">
        <v>263</v>
      </c>
      <c r="O264" s="2">
        <v>343.39343676691453</v>
      </c>
      <c r="R264" s="7">
        <f t="shared" ca="1" si="44"/>
        <v>0.55017111681483588</v>
      </c>
      <c r="S264" s="7">
        <f t="shared" ca="1" si="45"/>
        <v>2</v>
      </c>
      <c r="T264">
        <f t="shared" ca="1" si="46"/>
        <v>309.63432628299392</v>
      </c>
      <c r="X264" s="2"/>
    </row>
    <row r="265" spans="1:24" ht="17" x14ac:dyDescent="0.25">
      <c r="A265" s="2">
        <v>295.09901395626667</v>
      </c>
      <c r="K265" s="7"/>
      <c r="L265" s="7"/>
      <c r="N265">
        <v>264</v>
      </c>
      <c r="O265" s="2">
        <v>295.09901395626667</v>
      </c>
      <c r="R265" s="7">
        <f t="shared" ca="1" si="44"/>
        <v>0.27952782305384283</v>
      </c>
      <c r="S265" s="7">
        <f t="shared" ca="1" si="45"/>
        <v>1</v>
      </c>
      <c r="T265">
        <f t="shared" ca="1" si="46"/>
        <v>103.14857693856469</v>
      </c>
      <c r="X265" s="2"/>
    </row>
    <row r="266" spans="1:24" ht="17" x14ac:dyDescent="0.25">
      <c r="A266" s="2">
        <v>219.18195386234333</v>
      </c>
      <c r="K266" s="7"/>
      <c r="L266" s="7"/>
      <c r="N266">
        <v>265</v>
      </c>
      <c r="O266" s="2">
        <v>219.18195386234333</v>
      </c>
      <c r="R266" s="7">
        <f t="shared" ca="1" si="44"/>
        <v>0.54142865036798227</v>
      </c>
      <c r="S266" s="7">
        <f t="shared" ca="1" si="45"/>
        <v>2</v>
      </c>
      <c r="T266">
        <f t="shared" ca="1" si="46"/>
        <v>34.279156697926368</v>
      </c>
      <c r="X266" s="2"/>
    </row>
    <row r="267" spans="1:24" ht="17" x14ac:dyDescent="0.25">
      <c r="A267" s="2">
        <v>153.10133321498407</v>
      </c>
      <c r="K267" s="7"/>
      <c r="L267" s="7"/>
      <c r="N267">
        <v>266</v>
      </c>
      <c r="O267" s="2">
        <v>153.10133321498407</v>
      </c>
      <c r="R267" s="7">
        <f t="shared" ca="1" si="44"/>
        <v>0.51374471899915941</v>
      </c>
      <c r="S267" s="7">
        <f t="shared" ca="1" si="45"/>
        <v>2</v>
      </c>
      <c r="T267">
        <f t="shared" ca="1" si="46"/>
        <v>76.320971610739576</v>
      </c>
      <c r="X267" s="2"/>
    </row>
    <row r="268" spans="1:24" ht="17" x14ac:dyDescent="0.25">
      <c r="A268" s="2">
        <v>35.389566982286581</v>
      </c>
      <c r="K268" s="7"/>
      <c r="L268" s="7"/>
      <c r="N268">
        <v>267</v>
      </c>
      <c r="O268" s="2">
        <v>35.389566982286581</v>
      </c>
      <c r="R268" s="7">
        <f t="shared" ca="1" si="44"/>
        <v>0.84720202757284313</v>
      </c>
      <c r="S268" s="7">
        <f t="shared" ca="1" si="45"/>
        <v>2</v>
      </c>
      <c r="T268">
        <f t="shared" ca="1" si="46"/>
        <v>133.31790500813111</v>
      </c>
      <c r="X268" s="2"/>
    </row>
    <row r="269" spans="1:24" ht="17" x14ac:dyDescent="0.25">
      <c r="A269" s="2">
        <v>99.54852863743163</v>
      </c>
      <c r="K269" s="7"/>
      <c r="L269" s="7"/>
      <c r="N269">
        <v>268</v>
      </c>
      <c r="O269" s="2">
        <v>99.54852863743163</v>
      </c>
      <c r="R269" s="7">
        <f t="shared" ca="1" si="44"/>
        <v>0.13224614438227411</v>
      </c>
      <c r="S269" s="7">
        <f t="shared" ca="1" si="45"/>
        <v>1</v>
      </c>
      <c r="T269">
        <f t="shared" ca="1" si="46"/>
        <v>150.79685210756242</v>
      </c>
      <c r="X269" s="2"/>
    </row>
    <row r="270" spans="1:24" ht="17" x14ac:dyDescent="0.25">
      <c r="A270" s="2">
        <v>49.672657443787863</v>
      </c>
      <c r="K270" s="7"/>
      <c r="L270" s="7"/>
      <c r="N270">
        <v>269</v>
      </c>
      <c r="O270" s="2">
        <v>49.672657443787863</v>
      </c>
      <c r="R270" s="7">
        <f t="shared" ca="1" si="44"/>
        <v>0.10257280182732886</v>
      </c>
      <c r="S270" s="7">
        <f t="shared" ca="1" si="45"/>
        <v>1</v>
      </c>
      <c r="T270">
        <f t="shared" ca="1" si="46"/>
        <v>122.31612623556985</v>
      </c>
      <c r="X270" s="2"/>
    </row>
    <row r="271" spans="1:24" ht="17" x14ac:dyDescent="0.25">
      <c r="A271" s="2">
        <v>5.9227079652396526</v>
      </c>
      <c r="K271" s="7"/>
      <c r="L271" s="7"/>
      <c r="N271">
        <v>270</v>
      </c>
      <c r="O271" s="2">
        <v>5.9227079652396526</v>
      </c>
      <c r="R271" s="7">
        <f t="shared" ca="1" si="44"/>
        <v>0.34159145146534498</v>
      </c>
      <c r="S271" s="7">
        <f t="shared" ca="1" si="45"/>
        <v>1</v>
      </c>
      <c r="T271">
        <f t="shared" ca="1" si="46"/>
        <v>221.23377012841348</v>
      </c>
      <c r="X271" s="2"/>
    </row>
    <row r="272" spans="1:24" ht="17" x14ac:dyDescent="0.25">
      <c r="A272" s="2">
        <v>86.252320728931238</v>
      </c>
      <c r="K272" s="7"/>
      <c r="L272" s="7"/>
      <c r="N272">
        <v>271</v>
      </c>
      <c r="O272" s="2">
        <v>86.252320728931238</v>
      </c>
      <c r="R272" s="7">
        <f t="shared" ca="1" si="44"/>
        <v>0.64102252756590128</v>
      </c>
      <c r="S272" s="7">
        <f t="shared" ca="1" si="45"/>
        <v>2</v>
      </c>
      <c r="T272">
        <f t="shared" ca="1" si="46"/>
        <v>197.57980785991316</v>
      </c>
      <c r="X272" s="2"/>
    </row>
    <row r="273" spans="1:24" ht="17" x14ac:dyDescent="0.25">
      <c r="A273" s="2">
        <v>330.48464769951511</v>
      </c>
      <c r="K273" s="7"/>
      <c r="L273" s="7"/>
      <c r="N273">
        <v>272</v>
      </c>
      <c r="O273" s="2">
        <v>330.48464769951511</v>
      </c>
      <c r="R273" s="7">
        <f t="shared" ca="1" si="44"/>
        <v>6.8141279935175492E-2</v>
      </c>
      <c r="S273" s="7">
        <f t="shared" ca="1" si="45"/>
        <v>1</v>
      </c>
      <c r="T273">
        <f t="shared" ca="1" si="46"/>
        <v>74.997479080872409</v>
      </c>
      <c r="X273" s="2"/>
    </row>
    <row r="274" spans="1:24" ht="17" x14ac:dyDescent="0.25">
      <c r="A274" s="2">
        <v>305.15039245057767</v>
      </c>
      <c r="K274" s="7"/>
      <c r="L274" s="7"/>
      <c r="N274">
        <v>273</v>
      </c>
      <c r="O274" s="2">
        <v>305.15039245057767</v>
      </c>
      <c r="R274" s="7">
        <f t="shared" ca="1" si="44"/>
        <v>5.9166282962609285E-2</v>
      </c>
      <c r="S274" s="7">
        <f t="shared" ca="1" si="45"/>
        <v>1</v>
      </c>
      <c r="T274">
        <f t="shared" ca="1" si="46"/>
        <v>310.0138140406508</v>
      </c>
      <c r="X274" s="2"/>
    </row>
    <row r="275" spans="1:24" ht="17" x14ac:dyDescent="0.25">
      <c r="A275" s="2">
        <v>265.8655878492267</v>
      </c>
      <c r="K275" s="7"/>
      <c r="L275" s="7"/>
      <c r="N275">
        <v>274</v>
      </c>
      <c r="O275" s="2">
        <v>265.8655878492267</v>
      </c>
      <c r="R275" s="7">
        <f t="shared" ca="1" si="44"/>
        <v>0.50877718686061224</v>
      </c>
      <c r="S275" s="7">
        <f t="shared" ca="1" si="45"/>
        <v>2</v>
      </c>
      <c r="T275">
        <f t="shared" ca="1" si="46"/>
        <v>136.74078280034513</v>
      </c>
      <c r="X275" s="2"/>
    </row>
    <row r="276" spans="1:24" ht="17" x14ac:dyDescent="0.25">
      <c r="A276" s="2">
        <v>120.39515998440427</v>
      </c>
      <c r="K276" s="7"/>
      <c r="L276" s="7"/>
      <c r="N276">
        <v>275</v>
      </c>
      <c r="O276" s="2">
        <v>120.39515998440427</v>
      </c>
      <c r="R276" s="7">
        <f t="shared" ca="1" si="44"/>
        <v>0.11246773021392298</v>
      </c>
      <c r="S276" s="7">
        <f t="shared" ca="1" si="45"/>
        <v>1</v>
      </c>
      <c r="T276">
        <f t="shared" ca="1" si="46"/>
        <v>271.20197474442716</v>
      </c>
      <c r="X276" s="2"/>
    </row>
    <row r="277" spans="1:24" ht="17" x14ac:dyDescent="0.25">
      <c r="A277" s="2">
        <v>292.50081109236953</v>
      </c>
      <c r="K277" s="7"/>
      <c r="L277" s="7"/>
      <c r="N277">
        <v>276</v>
      </c>
      <c r="O277" s="2">
        <v>292.50081109236953</v>
      </c>
      <c r="R277" s="7">
        <f t="shared" ca="1" si="44"/>
        <v>0.1944673326464742</v>
      </c>
      <c r="S277" s="7">
        <f t="shared" ca="1" si="45"/>
        <v>1</v>
      </c>
      <c r="T277">
        <f t="shared" ca="1" si="46"/>
        <v>1.8382505474463338</v>
      </c>
      <c r="X277" s="2"/>
    </row>
    <row r="278" spans="1:24" ht="17" x14ac:dyDescent="0.25">
      <c r="A278" s="2">
        <v>53.193208218025262</v>
      </c>
      <c r="K278" s="7"/>
      <c r="L278" s="7"/>
      <c r="N278">
        <v>277</v>
      </c>
      <c r="O278" s="2">
        <v>53.193208218025262</v>
      </c>
      <c r="R278" s="7">
        <f t="shared" ca="1" si="44"/>
        <v>0.83236123133149065</v>
      </c>
      <c r="S278" s="7">
        <f t="shared" ca="1" si="45"/>
        <v>2</v>
      </c>
      <c r="T278">
        <f t="shared" ca="1" si="46"/>
        <v>277.16842248647276</v>
      </c>
      <c r="X278" s="2"/>
    </row>
    <row r="279" spans="1:24" ht="17" x14ac:dyDescent="0.25">
      <c r="A279" s="2">
        <v>30.622609051352608</v>
      </c>
      <c r="K279" s="7"/>
      <c r="L279" s="7"/>
      <c r="N279">
        <v>278</v>
      </c>
      <c r="O279" s="2">
        <v>30.622609051352608</v>
      </c>
      <c r="R279" s="7">
        <f t="shared" ca="1" si="44"/>
        <v>0.51996073539545551</v>
      </c>
      <c r="S279" s="7">
        <f t="shared" ca="1" si="45"/>
        <v>2</v>
      </c>
      <c r="T279">
        <f t="shared" ca="1" si="46"/>
        <v>125.52951098214614</v>
      </c>
      <c r="X279" s="2"/>
    </row>
    <row r="280" spans="1:24" ht="17" x14ac:dyDescent="0.25">
      <c r="A280" s="2">
        <v>4.1215352073926228</v>
      </c>
      <c r="K280" s="7"/>
      <c r="L280" s="7"/>
      <c r="N280">
        <v>279</v>
      </c>
      <c r="O280" s="2">
        <v>4.1215352073926228</v>
      </c>
      <c r="R280" s="7">
        <f t="shared" ca="1" si="44"/>
        <v>0.68195350915385078</v>
      </c>
      <c r="S280" s="7">
        <f t="shared" ca="1" si="45"/>
        <v>2</v>
      </c>
      <c r="T280">
        <f t="shared" ca="1" si="46"/>
        <v>26.182903954797879</v>
      </c>
      <c r="X280" s="2"/>
    </row>
    <row r="281" spans="1:24" ht="17" x14ac:dyDescent="0.25">
      <c r="A281" s="2">
        <v>211.34719898522317</v>
      </c>
      <c r="K281" s="7"/>
      <c r="L281" s="7"/>
      <c r="N281">
        <v>280</v>
      </c>
      <c r="O281" s="2">
        <v>211.34719898522317</v>
      </c>
      <c r="R281" s="7">
        <f t="shared" ca="1" si="44"/>
        <v>0.84192226541701198</v>
      </c>
      <c r="S281" s="7">
        <f t="shared" ca="1" si="45"/>
        <v>2</v>
      </c>
      <c r="T281">
        <f t="shared" ca="1" si="46"/>
        <v>41.151981733474756</v>
      </c>
      <c r="X281" s="2"/>
    </row>
    <row r="282" spans="1:24" ht="17" x14ac:dyDescent="0.25">
      <c r="A282" s="2">
        <v>97.25232912625026</v>
      </c>
      <c r="K282" s="7"/>
      <c r="L282" s="7"/>
      <c r="N282">
        <v>281</v>
      </c>
      <c r="O282" s="2">
        <v>97.25232912625026</v>
      </c>
      <c r="R282" s="7">
        <f t="shared" ca="1" si="44"/>
        <v>0.80346914866658437</v>
      </c>
      <c r="S282" s="7">
        <f t="shared" ca="1" si="45"/>
        <v>2</v>
      </c>
      <c r="T282">
        <f t="shared" ca="1" si="46"/>
        <v>40.820195328141139</v>
      </c>
      <c r="X282" s="2"/>
    </row>
    <row r="283" spans="1:24" ht="17" x14ac:dyDescent="0.25">
      <c r="A283" s="2">
        <v>120.46124712355386</v>
      </c>
      <c r="K283" s="7"/>
      <c r="L283" s="7"/>
      <c r="N283">
        <v>282</v>
      </c>
      <c r="O283" s="2">
        <v>120.46124712355386</v>
      </c>
      <c r="R283" s="7">
        <f t="shared" ca="1" si="44"/>
        <v>0.30248862411326316</v>
      </c>
      <c r="S283" s="7">
        <f t="shared" ca="1" si="45"/>
        <v>1</v>
      </c>
      <c r="T283">
        <f t="shared" ca="1" si="46"/>
        <v>188.74888944881977</v>
      </c>
      <c r="X283" s="2"/>
    </row>
    <row r="284" spans="1:24" ht="17" x14ac:dyDescent="0.25">
      <c r="A284" s="2">
        <v>285.56888390863821</v>
      </c>
      <c r="K284" s="7"/>
      <c r="L284" s="7"/>
      <c r="N284">
        <v>283</v>
      </c>
      <c r="O284" s="2">
        <v>285.56888390863821</v>
      </c>
      <c r="R284" s="7">
        <f t="shared" ca="1" si="44"/>
        <v>0.49347204574939552</v>
      </c>
      <c r="S284" s="7">
        <f t="shared" ca="1" si="45"/>
        <v>2</v>
      </c>
      <c r="T284">
        <f t="shared" ca="1" si="46"/>
        <v>137.57616283745159</v>
      </c>
      <c r="X284" s="2"/>
    </row>
    <row r="285" spans="1:24" ht="17" x14ac:dyDescent="0.25">
      <c r="A285" s="2">
        <v>35.34412206486904</v>
      </c>
      <c r="K285" s="7"/>
      <c r="L285" s="7"/>
      <c r="N285">
        <v>284</v>
      </c>
      <c r="O285" s="2">
        <v>35.34412206486904</v>
      </c>
      <c r="R285" s="7">
        <f t="shared" ca="1" si="44"/>
        <v>0.97904568893990507</v>
      </c>
      <c r="S285" s="7">
        <f t="shared" ca="1" si="45"/>
        <v>2</v>
      </c>
      <c r="T285">
        <f t="shared" ca="1" si="46"/>
        <v>7.9951499361243643</v>
      </c>
      <c r="X285" s="2"/>
    </row>
    <row r="286" spans="1:24" ht="17" x14ac:dyDescent="0.25">
      <c r="A286" s="2">
        <v>23.670191417058376</v>
      </c>
      <c r="K286" s="7"/>
      <c r="L286" s="7"/>
      <c r="N286">
        <v>285</v>
      </c>
      <c r="O286" s="2">
        <v>23.670191417058376</v>
      </c>
      <c r="R286" s="7">
        <f t="shared" ca="1" si="44"/>
        <v>0.73683333169326926</v>
      </c>
      <c r="S286" s="7">
        <f t="shared" ca="1" si="45"/>
        <v>2</v>
      </c>
      <c r="T286">
        <f t="shared" ca="1" si="46"/>
        <v>50.736505216359667</v>
      </c>
      <c r="X286" s="2"/>
    </row>
    <row r="287" spans="1:24" ht="17" x14ac:dyDescent="0.25">
      <c r="A287" s="2">
        <v>325.06489414605676</v>
      </c>
      <c r="K287" s="7"/>
      <c r="L287" s="7"/>
      <c r="N287">
        <v>286</v>
      </c>
      <c r="O287" s="2">
        <v>325.06489414605676</v>
      </c>
      <c r="R287" s="7">
        <f t="shared" ca="1" si="44"/>
        <v>0.30058864855043466</v>
      </c>
      <c r="S287" s="7">
        <f t="shared" ca="1" si="45"/>
        <v>1</v>
      </c>
      <c r="T287">
        <f t="shared" ca="1" si="46"/>
        <v>148.54443722466658</v>
      </c>
      <c r="X287" s="2"/>
    </row>
    <row r="288" spans="1:24" ht="17" x14ac:dyDescent="0.25">
      <c r="A288" s="2">
        <v>104.33493722057611</v>
      </c>
      <c r="K288" s="7"/>
      <c r="L288" s="7"/>
      <c r="N288">
        <v>287</v>
      </c>
      <c r="O288" s="2">
        <v>104.33493722057611</v>
      </c>
      <c r="R288" s="7">
        <f t="shared" ca="1" si="44"/>
        <v>0.44901718674074831</v>
      </c>
      <c r="S288" s="7">
        <f t="shared" ca="1" si="45"/>
        <v>1</v>
      </c>
      <c r="T288">
        <f t="shared" ca="1" si="46"/>
        <v>34.410633929382882</v>
      </c>
      <c r="X288" s="2"/>
    </row>
    <row r="289" spans="1:24" ht="17" x14ac:dyDescent="0.25">
      <c r="A289" s="2">
        <v>5.2011855908144362</v>
      </c>
      <c r="K289" s="7"/>
      <c r="L289" s="7"/>
      <c r="N289">
        <v>288</v>
      </c>
      <c r="O289" s="2">
        <v>5.2011855908144362</v>
      </c>
      <c r="R289" s="7">
        <f t="shared" ca="1" si="44"/>
        <v>0.25873479364567809</v>
      </c>
      <c r="S289" s="7">
        <f t="shared" ca="1" si="45"/>
        <v>1</v>
      </c>
      <c r="T289">
        <f t="shared" ca="1" si="46"/>
        <v>288.27472544283808</v>
      </c>
      <c r="X289" s="2"/>
    </row>
    <row r="290" spans="1:24" ht="17" x14ac:dyDescent="0.25">
      <c r="A290" s="2">
        <v>239.63304258831505</v>
      </c>
      <c r="K290" s="7"/>
      <c r="L290" s="7"/>
      <c r="N290">
        <v>289</v>
      </c>
      <c r="O290" s="2">
        <v>239.63304258831505</v>
      </c>
      <c r="R290" s="7">
        <f t="shared" ca="1" si="44"/>
        <v>0.36189472876755568</v>
      </c>
      <c r="S290" s="7">
        <f t="shared" ca="1" si="45"/>
        <v>1</v>
      </c>
      <c r="T290">
        <f t="shared" ca="1" si="46"/>
        <v>54.699263721622472</v>
      </c>
      <c r="X290" s="2"/>
    </row>
    <row r="291" spans="1:24" ht="17" x14ac:dyDescent="0.25">
      <c r="A291" s="2">
        <v>6.3132826610906623</v>
      </c>
      <c r="K291" s="7"/>
      <c r="L291" s="7"/>
      <c r="N291">
        <v>290</v>
      </c>
      <c r="O291" s="2">
        <v>6.3132826610906623</v>
      </c>
      <c r="R291" s="7">
        <f t="shared" ca="1" si="44"/>
        <v>0.29956461110255894</v>
      </c>
      <c r="S291" s="7">
        <f t="shared" ca="1" si="45"/>
        <v>1</v>
      </c>
      <c r="T291">
        <f t="shared" ca="1" si="46"/>
        <v>116.00045099881713</v>
      </c>
      <c r="X291" s="2"/>
    </row>
    <row r="292" spans="1:24" ht="17" x14ac:dyDescent="0.25">
      <c r="A292" s="2">
        <v>38.626573597836554</v>
      </c>
      <c r="K292" s="7"/>
      <c r="L292" s="7"/>
      <c r="N292">
        <v>291</v>
      </c>
      <c r="O292" s="2">
        <v>38.626573597836554</v>
      </c>
      <c r="R292" s="7">
        <f t="shared" ca="1" si="44"/>
        <v>3.7989497694702612E-2</v>
      </c>
      <c r="S292" s="7">
        <f t="shared" ca="1" si="45"/>
        <v>1</v>
      </c>
      <c r="T292">
        <f t="shared" ca="1" si="46"/>
        <v>51.840341107359187</v>
      </c>
      <c r="X292" s="2"/>
    </row>
    <row r="293" spans="1:24" ht="17" x14ac:dyDescent="0.25">
      <c r="A293" s="2">
        <v>11.298585272675956</v>
      </c>
      <c r="K293" s="7"/>
      <c r="L293" s="7"/>
      <c r="N293">
        <v>292</v>
      </c>
      <c r="O293" s="2">
        <v>11.298585272675956</v>
      </c>
      <c r="R293" s="7">
        <f t="shared" ca="1" si="44"/>
        <v>0.9121174396130739</v>
      </c>
      <c r="S293" s="7">
        <f t="shared" ca="1" si="45"/>
        <v>2</v>
      </c>
      <c r="T293">
        <f t="shared" ca="1" si="46"/>
        <v>56.677390729369094</v>
      </c>
      <c r="X293" s="2"/>
    </row>
    <row r="294" spans="1:24" ht="17" x14ac:dyDescent="0.25">
      <c r="A294" s="2">
        <v>190.95089813914649</v>
      </c>
      <c r="K294" s="7"/>
      <c r="L294" s="7"/>
      <c r="N294">
        <v>293</v>
      </c>
      <c r="O294" s="2">
        <v>190.95089813914649</v>
      </c>
      <c r="R294" s="7">
        <f t="shared" ca="1" si="44"/>
        <v>0.96315849698966238</v>
      </c>
      <c r="S294" s="7">
        <f t="shared" ca="1" si="45"/>
        <v>2</v>
      </c>
      <c r="T294">
        <f t="shared" ca="1" si="46"/>
        <v>233.30187299256716</v>
      </c>
      <c r="X294" s="2"/>
    </row>
    <row r="295" spans="1:24" ht="17" x14ac:dyDescent="0.25">
      <c r="A295" s="2">
        <v>61.329906471510263</v>
      </c>
      <c r="K295" s="7"/>
      <c r="L295" s="7"/>
      <c r="N295">
        <v>294</v>
      </c>
      <c r="O295" s="2">
        <v>61.329906471510263</v>
      </c>
      <c r="R295" s="7">
        <f t="shared" ca="1" si="44"/>
        <v>0.65989033438824196</v>
      </c>
      <c r="S295" s="7">
        <f t="shared" ca="1" si="45"/>
        <v>2</v>
      </c>
      <c r="T295">
        <f t="shared" ca="1" si="46"/>
        <v>56.388802430330394</v>
      </c>
      <c r="X295" s="2"/>
    </row>
    <row r="296" spans="1:24" ht="17" x14ac:dyDescent="0.25">
      <c r="A296" s="2">
        <v>32.532680875359233</v>
      </c>
      <c r="K296" s="7"/>
      <c r="L296" s="7"/>
      <c r="N296">
        <v>295</v>
      </c>
      <c r="O296" s="2">
        <v>32.532680875359233</v>
      </c>
      <c r="R296" s="7">
        <f t="shared" ca="1" si="44"/>
        <v>0.326207610991467</v>
      </c>
      <c r="S296" s="7">
        <f t="shared" ca="1" si="45"/>
        <v>1</v>
      </c>
      <c r="T296">
        <f t="shared" ca="1" si="46"/>
        <v>149.00179211587846</v>
      </c>
      <c r="X296" s="2"/>
    </row>
    <row r="297" spans="1:24" ht="17" x14ac:dyDescent="0.25">
      <c r="A297" s="2">
        <v>76.715949247469283</v>
      </c>
      <c r="K297" s="7"/>
      <c r="L297" s="7"/>
      <c r="N297">
        <v>296</v>
      </c>
      <c r="O297" s="2">
        <v>76.715949247469283</v>
      </c>
      <c r="R297" s="7">
        <f t="shared" ca="1" si="44"/>
        <v>0.8342595118515258</v>
      </c>
      <c r="S297" s="7">
        <f t="shared" ca="1" si="45"/>
        <v>2</v>
      </c>
      <c r="T297">
        <f t="shared" ca="1" si="46"/>
        <v>70.383852845865903</v>
      </c>
      <c r="X297" s="2"/>
    </row>
    <row r="298" spans="1:24" ht="17" x14ac:dyDescent="0.25">
      <c r="A298" s="2">
        <v>46.035646371789895</v>
      </c>
      <c r="K298" s="7"/>
      <c r="L298" s="7"/>
      <c r="N298">
        <v>297</v>
      </c>
      <c r="O298" s="2">
        <v>46.035646371789895</v>
      </c>
      <c r="R298" s="7">
        <f t="shared" ca="1" si="44"/>
        <v>0.42420226484014611</v>
      </c>
      <c r="S298" s="7">
        <f t="shared" ca="1" si="45"/>
        <v>1</v>
      </c>
      <c r="T298">
        <f t="shared" ca="1" si="46"/>
        <v>47.793642561869291</v>
      </c>
      <c r="X298" s="2"/>
    </row>
    <row r="299" spans="1:24" ht="17" x14ac:dyDescent="0.25">
      <c r="A299" s="2">
        <v>48.347532994487743</v>
      </c>
      <c r="K299" s="7"/>
      <c r="L299" s="7"/>
      <c r="N299">
        <v>298</v>
      </c>
      <c r="O299" s="2">
        <v>48.347532994487743</v>
      </c>
      <c r="R299" s="7">
        <f t="shared" ca="1" si="44"/>
        <v>0.47660449479940392</v>
      </c>
      <c r="S299" s="7">
        <f t="shared" ca="1" si="45"/>
        <v>1</v>
      </c>
      <c r="T299">
        <f t="shared" ca="1" si="46"/>
        <v>10.215091702184717</v>
      </c>
      <c r="X299" s="2"/>
    </row>
    <row r="300" spans="1:24" ht="17" x14ac:dyDescent="0.25">
      <c r="A300" s="2">
        <v>13.865456795526175</v>
      </c>
      <c r="K300" s="7"/>
      <c r="L300" s="7"/>
      <c r="N300">
        <v>299</v>
      </c>
      <c r="O300" s="2">
        <v>13.865456795526175</v>
      </c>
      <c r="R300" s="7">
        <f t="shared" ca="1" si="44"/>
        <v>0.76019919364294131</v>
      </c>
      <c r="S300" s="7">
        <f t="shared" ca="1" si="45"/>
        <v>2</v>
      </c>
      <c r="T300">
        <f t="shared" ca="1" si="46"/>
        <v>191.35855471146567</v>
      </c>
      <c r="X300" s="2"/>
    </row>
    <row r="301" spans="1:24" ht="17" x14ac:dyDescent="0.25">
      <c r="A301" s="2">
        <v>58.457662442348422</v>
      </c>
      <c r="K301" s="7"/>
      <c r="L301" s="7"/>
      <c r="N301">
        <v>300</v>
      </c>
      <c r="O301" s="2">
        <v>58.457662442348422</v>
      </c>
      <c r="R301" s="7">
        <f t="shared" ca="1" si="44"/>
        <v>0.97623260379985632</v>
      </c>
      <c r="S301" s="7">
        <f t="shared" ca="1" si="45"/>
        <v>2</v>
      </c>
      <c r="T301">
        <f t="shared" ca="1" si="46"/>
        <v>212.43809090144674</v>
      </c>
      <c r="X301" s="2"/>
    </row>
    <row r="302" spans="1:24" ht="17" x14ac:dyDescent="0.25">
      <c r="K302" s="7"/>
      <c r="L302" s="7"/>
    </row>
    <row r="303" spans="1:24" ht="17" x14ac:dyDescent="0.25">
      <c r="K303" s="7"/>
      <c r="L303" s="7"/>
    </row>
    <row r="304" spans="1:24" ht="17" x14ac:dyDescent="0.25">
      <c r="K304" s="7"/>
      <c r="L304" s="7"/>
    </row>
    <row r="305" spans="11:12" ht="17" x14ac:dyDescent="0.25">
      <c r="K305" s="7"/>
      <c r="L305" s="7"/>
    </row>
    <row r="306" spans="11:12" ht="17" x14ac:dyDescent="0.25">
      <c r="K306" s="7"/>
      <c r="L306" s="7"/>
    </row>
    <row r="307" spans="11:12" ht="17" x14ac:dyDescent="0.25">
      <c r="K307" s="7"/>
      <c r="L307" s="7"/>
    </row>
    <row r="308" spans="11:12" ht="17" x14ac:dyDescent="0.25">
      <c r="K308" s="7"/>
      <c r="L308" s="7"/>
    </row>
    <row r="309" spans="11:12" ht="17" x14ac:dyDescent="0.25">
      <c r="K309" s="7"/>
      <c r="L309" s="7"/>
    </row>
    <row r="310" spans="11:12" ht="17" x14ac:dyDescent="0.25">
      <c r="K310" s="7"/>
      <c r="L310" s="7"/>
    </row>
    <row r="311" spans="11:12" ht="17" x14ac:dyDescent="0.25">
      <c r="K311" s="7"/>
      <c r="L311" s="7"/>
    </row>
    <row r="312" spans="11:12" ht="17" x14ac:dyDescent="0.25">
      <c r="K312" s="7"/>
      <c r="L312" s="7"/>
    </row>
    <row r="313" spans="11:12" ht="17" x14ac:dyDescent="0.25">
      <c r="K313" s="7"/>
      <c r="L313" s="7"/>
    </row>
    <row r="314" spans="11:12" ht="17" x14ac:dyDescent="0.25">
      <c r="K314" s="7"/>
      <c r="L314" s="7"/>
    </row>
    <row r="315" spans="11:12" ht="17" x14ac:dyDescent="0.25">
      <c r="K315" s="7"/>
      <c r="L315" s="7"/>
    </row>
    <row r="316" spans="11:12" ht="17" x14ac:dyDescent="0.25">
      <c r="K316" s="7"/>
      <c r="L316" s="7"/>
    </row>
    <row r="317" spans="11:12" ht="17" x14ac:dyDescent="0.25">
      <c r="K317" s="7"/>
      <c r="L317" s="7"/>
    </row>
    <row r="318" spans="11:12" ht="17" x14ac:dyDescent="0.25">
      <c r="K318" s="7"/>
      <c r="L318" s="7"/>
    </row>
    <row r="319" spans="11:12" ht="17" x14ac:dyDescent="0.25">
      <c r="K319" s="7"/>
      <c r="L319" s="7"/>
    </row>
    <row r="320" spans="11:12" ht="17" x14ac:dyDescent="0.25">
      <c r="K320" s="7"/>
      <c r="L320" s="7"/>
    </row>
    <row r="321" spans="11:12" ht="17" x14ac:dyDescent="0.25">
      <c r="K321" s="7"/>
      <c r="L321" s="7"/>
    </row>
    <row r="322" spans="11:12" ht="17" x14ac:dyDescent="0.25">
      <c r="K322" s="7"/>
      <c r="L322" s="7"/>
    </row>
    <row r="323" spans="11:12" ht="17" x14ac:dyDescent="0.25">
      <c r="K323" s="7"/>
      <c r="L323" s="7"/>
    </row>
    <row r="324" spans="11:12" ht="17" x14ac:dyDescent="0.25">
      <c r="K324" s="7"/>
      <c r="L324" s="7"/>
    </row>
    <row r="325" spans="11:12" ht="17" x14ac:dyDescent="0.25">
      <c r="K325" s="7"/>
      <c r="L325" s="7"/>
    </row>
    <row r="326" spans="11:12" ht="17" x14ac:dyDescent="0.25">
      <c r="K326" s="7"/>
      <c r="L326" s="7"/>
    </row>
    <row r="327" spans="11:12" ht="17" x14ac:dyDescent="0.25">
      <c r="K327" s="7"/>
      <c r="L327" s="7"/>
    </row>
    <row r="328" spans="11:12" ht="17" x14ac:dyDescent="0.25">
      <c r="K328" s="7"/>
      <c r="L328" s="7"/>
    </row>
    <row r="329" spans="11:12" ht="17" x14ac:dyDescent="0.25">
      <c r="K329" s="7"/>
      <c r="L329" s="7"/>
    </row>
    <row r="330" spans="11:12" ht="17" x14ac:dyDescent="0.25">
      <c r="K330" s="7"/>
      <c r="L330" s="7"/>
    </row>
    <row r="331" spans="11:12" ht="17" x14ac:dyDescent="0.25">
      <c r="K331" s="7"/>
      <c r="L331" s="7"/>
    </row>
    <row r="332" spans="11:12" ht="17" x14ac:dyDescent="0.25">
      <c r="K332" s="7"/>
      <c r="L332" s="7"/>
    </row>
    <row r="333" spans="11:12" ht="17" x14ac:dyDescent="0.25">
      <c r="K333" s="7"/>
      <c r="L333" s="7"/>
    </row>
    <row r="334" spans="11:12" ht="17" x14ac:dyDescent="0.25">
      <c r="K334" s="7"/>
      <c r="L334" s="7"/>
    </row>
    <row r="335" spans="11:12" ht="17" x14ac:dyDescent="0.25">
      <c r="K335" s="7"/>
      <c r="L335" s="7"/>
    </row>
    <row r="336" spans="11:12" ht="17" x14ac:dyDescent="0.25">
      <c r="K336" s="7"/>
      <c r="L336" s="7"/>
    </row>
    <row r="337" spans="11:12" ht="17" x14ac:dyDescent="0.25">
      <c r="K337" s="7"/>
      <c r="L337" s="7"/>
    </row>
    <row r="338" spans="11:12" ht="17" x14ac:dyDescent="0.25">
      <c r="K338" s="7"/>
      <c r="L338" s="7"/>
    </row>
    <row r="339" spans="11:12" ht="17" x14ac:dyDescent="0.25">
      <c r="K339" s="7"/>
      <c r="L339" s="7"/>
    </row>
    <row r="340" spans="11:12" ht="17" x14ac:dyDescent="0.25">
      <c r="K340" s="7"/>
      <c r="L340" s="7"/>
    </row>
    <row r="341" spans="11:12" ht="17" x14ac:dyDescent="0.25">
      <c r="K341" s="7"/>
      <c r="L341" s="7"/>
    </row>
    <row r="342" spans="11:12" ht="17" x14ac:dyDescent="0.25">
      <c r="K342" s="7"/>
      <c r="L342" s="7"/>
    </row>
    <row r="343" spans="11:12" ht="17" x14ac:dyDescent="0.25">
      <c r="K343" s="7"/>
      <c r="L343" s="7"/>
    </row>
    <row r="344" spans="11:12" ht="17" x14ac:dyDescent="0.25">
      <c r="K344" s="7"/>
      <c r="L344" s="7"/>
    </row>
    <row r="345" spans="11:12" ht="17" x14ac:dyDescent="0.25">
      <c r="K345" s="7"/>
      <c r="L345" s="7"/>
    </row>
    <row r="346" spans="11:12" ht="17" x14ac:dyDescent="0.25">
      <c r="K346" s="7"/>
      <c r="L346" s="7"/>
    </row>
    <row r="347" spans="11:12" ht="17" x14ac:dyDescent="0.25">
      <c r="K347" s="7"/>
      <c r="L347" s="7"/>
    </row>
    <row r="348" spans="11:12" ht="17" x14ac:dyDescent="0.25">
      <c r="K348" s="7"/>
      <c r="L348" s="7"/>
    </row>
    <row r="349" spans="11:12" ht="17" x14ac:dyDescent="0.25">
      <c r="K349" s="7"/>
      <c r="L349" s="7"/>
    </row>
    <row r="350" spans="11:12" ht="17" x14ac:dyDescent="0.25">
      <c r="K350" s="7"/>
      <c r="L350" s="7"/>
    </row>
    <row r="351" spans="11:12" ht="17" x14ac:dyDescent="0.25">
      <c r="K351" s="7"/>
      <c r="L351" s="7"/>
    </row>
    <row r="352" spans="11:12" ht="17" x14ac:dyDescent="0.25">
      <c r="K352" s="7"/>
      <c r="L352" s="7"/>
    </row>
    <row r="353" spans="11:12" ht="17" x14ac:dyDescent="0.25">
      <c r="K353" s="7"/>
      <c r="L353" s="7"/>
    </row>
    <row r="354" spans="11:12" ht="17" x14ac:dyDescent="0.25">
      <c r="K354" s="7"/>
      <c r="L354" s="7"/>
    </row>
    <row r="355" spans="11:12" ht="17" x14ac:dyDescent="0.25">
      <c r="K355" s="7"/>
      <c r="L355" s="7"/>
    </row>
    <row r="356" spans="11:12" ht="17" x14ac:dyDescent="0.25">
      <c r="K356" s="7"/>
      <c r="L356" s="7"/>
    </row>
    <row r="357" spans="11:12" ht="17" x14ac:dyDescent="0.25">
      <c r="K357" s="7"/>
      <c r="L357" s="7"/>
    </row>
    <row r="358" spans="11:12" ht="17" x14ac:dyDescent="0.25">
      <c r="K358" s="7"/>
      <c r="L358" s="7"/>
    </row>
    <row r="359" spans="11:12" ht="17" x14ac:dyDescent="0.25">
      <c r="K359" s="7"/>
      <c r="L359" s="7"/>
    </row>
    <row r="360" spans="11:12" ht="17" x14ac:dyDescent="0.25">
      <c r="K360" s="7"/>
      <c r="L360" s="7"/>
    </row>
    <row r="361" spans="11:12" ht="17" x14ac:dyDescent="0.25">
      <c r="K361" s="7"/>
      <c r="L361" s="7"/>
    </row>
    <row r="362" spans="11:12" ht="17" x14ac:dyDescent="0.25">
      <c r="K362" s="7"/>
      <c r="L362" s="7"/>
    </row>
    <row r="363" spans="11:12" ht="17" x14ac:dyDescent="0.25">
      <c r="K363" s="7"/>
      <c r="L363" s="7"/>
    </row>
    <row r="364" spans="11:12" ht="17" x14ac:dyDescent="0.25">
      <c r="K364" s="7"/>
      <c r="L364" s="7"/>
    </row>
    <row r="365" spans="11:12" ht="17" x14ac:dyDescent="0.25">
      <c r="K365" s="7"/>
      <c r="L365" s="7"/>
    </row>
    <row r="366" spans="11:12" ht="17" x14ac:dyDescent="0.25">
      <c r="K366" s="7"/>
      <c r="L366" s="7"/>
    </row>
    <row r="367" spans="11:12" ht="17" x14ac:dyDescent="0.25">
      <c r="K367" s="7"/>
      <c r="L367" s="7"/>
    </row>
    <row r="368" spans="11:12" ht="17" x14ac:dyDescent="0.25">
      <c r="K368" s="7"/>
      <c r="L368" s="7"/>
    </row>
    <row r="369" spans="11:12" ht="17" x14ac:dyDescent="0.25">
      <c r="K369" s="7"/>
      <c r="L369" s="7"/>
    </row>
    <row r="370" spans="11:12" ht="17" x14ac:dyDescent="0.25">
      <c r="K370" s="7"/>
      <c r="L370" s="7"/>
    </row>
    <row r="371" spans="11:12" ht="17" x14ac:dyDescent="0.25">
      <c r="K371" s="7"/>
      <c r="L371" s="7"/>
    </row>
    <row r="372" spans="11:12" ht="17" x14ac:dyDescent="0.25">
      <c r="K372" s="7"/>
      <c r="L372" s="7"/>
    </row>
    <row r="373" spans="11:12" ht="17" x14ac:dyDescent="0.25">
      <c r="K373" s="7"/>
      <c r="L373" s="7"/>
    </row>
    <row r="374" spans="11:12" ht="17" x14ac:dyDescent="0.25">
      <c r="K374" s="7"/>
      <c r="L374" s="7"/>
    </row>
    <row r="375" spans="11:12" ht="17" x14ac:dyDescent="0.25">
      <c r="K375" s="7"/>
      <c r="L375" s="7"/>
    </row>
    <row r="376" spans="11:12" ht="17" x14ac:dyDescent="0.25">
      <c r="K376" s="7"/>
      <c r="L376" s="7"/>
    </row>
    <row r="377" spans="11:12" ht="17" x14ac:dyDescent="0.25">
      <c r="K377" s="7"/>
      <c r="L377" s="7"/>
    </row>
    <row r="378" spans="11:12" ht="17" x14ac:dyDescent="0.25">
      <c r="K378" s="7"/>
      <c r="L378" s="7"/>
    </row>
    <row r="379" spans="11:12" ht="17" x14ac:dyDescent="0.25">
      <c r="K379" s="7"/>
      <c r="L379" s="7"/>
    </row>
    <row r="380" spans="11:12" ht="17" x14ac:dyDescent="0.25">
      <c r="K380" s="7"/>
      <c r="L380" s="7"/>
    </row>
    <row r="381" spans="11:12" ht="17" x14ac:dyDescent="0.25">
      <c r="K381" s="7"/>
      <c r="L381" s="7"/>
    </row>
    <row r="382" spans="11:12" ht="17" x14ac:dyDescent="0.25">
      <c r="K382" s="7"/>
      <c r="L382" s="7"/>
    </row>
    <row r="383" spans="11:12" ht="17" x14ac:dyDescent="0.25">
      <c r="K383" s="7"/>
      <c r="L383" s="7"/>
    </row>
    <row r="384" spans="11:12" ht="17" x14ac:dyDescent="0.25">
      <c r="K384" s="7"/>
      <c r="L384" s="7"/>
    </row>
    <row r="385" spans="11:12" ht="17" x14ac:dyDescent="0.25">
      <c r="K385" s="7"/>
      <c r="L385" s="7"/>
    </row>
    <row r="386" spans="11:12" ht="17" x14ac:dyDescent="0.25">
      <c r="K386" s="7"/>
      <c r="L386" s="7"/>
    </row>
    <row r="387" spans="11:12" ht="17" x14ac:dyDescent="0.25">
      <c r="K387" s="7"/>
      <c r="L387" s="7"/>
    </row>
    <row r="388" spans="11:12" ht="17" x14ac:dyDescent="0.25">
      <c r="K388" s="7"/>
      <c r="L388" s="7"/>
    </row>
    <row r="389" spans="11:12" ht="17" x14ac:dyDescent="0.25">
      <c r="K389" s="7"/>
      <c r="L389" s="7"/>
    </row>
    <row r="390" spans="11:12" ht="17" x14ac:dyDescent="0.25">
      <c r="K390" s="7"/>
      <c r="L390" s="7"/>
    </row>
    <row r="391" spans="11:12" ht="17" x14ac:dyDescent="0.25">
      <c r="K391" s="7"/>
      <c r="L391" s="7"/>
    </row>
    <row r="392" spans="11:12" ht="17" x14ac:dyDescent="0.25">
      <c r="K392" s="7"/>
      <c r="L392" s="7"/>
    </row>
    <row r="393" spans="11:12" ht="17" x14ac:dyDescent="0.25">
      <c r="K393" s="7"/>
      <c r="L393" s="7"/>
    </row>
    <row r="394" spans="11:12" ht="17" x14ac:dyDescent="0.25">
      <c r="K394" s="7"/>
      <c r="L394" s="7"/>
    </row>
    <row r="395" spans="11:12" ht="17" x14ac:dyDescent="0.25">
      <c r="K395" s="7"/>
      <c r="L395" s="7"/>
    </row>
    <row r="396" spans="11:12" ht="17" x14ac:dyDescent="0.25">
      <c r="K396" s="7"/>
      <c r="L396" s="7"/>
    </row>
    <row r="397" spans="11:12" ht="17" x14ac:dyDescent="0.25">
      <c r="K397" s="7"/>
      <c r="L397" s="7"/>
    </row>
    <row r="398" spans="11:12" ht="17" x14ac:dyDescent="0.25">
      <c r="K398" s="7"/>
      <c r="L398" s="7"/>
    </row>
    <row r="399" spans="11:12" ht="17" x14ac:dyDescent="0.25">
      <c r="K399" s="7"/>
      <c r="L399" s="7"/>
    </row>
    <row r="400" spans="11:12" ht="17" x14ac:dyDescent="0.25">
      <c r="K400" s="7"/>
      <c r="L400" s="7"/>
    </row>
    <row r="401" spans="11:12" ht="17" x14ac:dyDescent="0.25">
      <c r="K401" s="7"/>
      <c r="L401" s="7"/>
    </row>
    <row r="402" spans="11:12" ht="17" x14ac:dyDescent="0.25">
      <c r="K402" s="7"/>
      <c r="L402" s="7"/>
    </row>
    <row r="403" spans="11:12" ht="17" x14ac:dyDescent="0.25">
      <c r="K403" s="7"/>
      <c r="L403" s="7"/>
    </row>
    <row r="404" spans="11:12" ht="17" x14ac:dyDescent="0.25">
      <c r="K404" s="7"/>
      <c r="L404" s="7"/>
    </row>
    <row r="405" spans="11:12" ht="17" x14ac:dyDescent="0.25">
      <c r="K405" s="7"/>
      <c r="L405" s="7"/>
    </row>
    <row r="406" spans="11:12" ht="17" x14ac:dyDescent="0.25">
      <c r="K406" s="7"/>
      <c r="L406" s="7"/>
    </row>
    <row r="407" spans="11:12" ht="17" x14ac:dyDescent="0.25">
      <c r="K407" s="7"/>
      <c r="L407" s="7"/>
    </row>
    <row r="408" spans="11:12" ht="17" x14ac:dyDescent="0.25">
      <c r="K408" s="7"/>
      <c r="L408" s="7"/>
    </row>
    <row r="409" spans="11:12" ht="17" x14ac:dyDescent="0.25">
      <c r="K409" s="7"/>
      <c r="L409" s="7"/>
    </row>
    <row r="410" spans="11:12" ht="17" x14ac:dyDescent="0.25">
      <c r="K410" s="7"/>
      <c r="L410" s="7"/>
    </row>
    <row r="411" spans="11:12" ht="17" x14ac:dyDescent="0.25">
      <c r="K411" s="7"/>
      <c r="L411" s="7"/>
    </row>
    <row r="412" spans="11:12" ht="17" x14ac:dyDescent="0.25">
      <c r="K412" s="7"/>
      <c r="L412" s="7"/>
    </row>
    <row r="413" spans="11:12" ht="17" x14ac:dyDescent="0.25">
      <c r="K413" s="7"/>
      <c r="L413" s="7"/>
    </row>
    <row r="414" spans="11:12" ht="17" x14ac:dyDescent="0.25">
      <c r="K414" s="7"/>
      <c r="L414" s="7"/>
    </row>
    <row r="415" spans="11:12" ht="17" x14ac:dyDescent="0.25">
      <c r="K415" s="7"/>
      <c r="L415" s="7"/>
    </row>
    <row r="416" spans="11:12" ht="17" x14ac:dyDescent="0.25">
      <c r="K416" s="7"/>
      <c r="L416" s="7"/>
    </row>
    <row r="417" spans="11:12" ht="17" x14ac:dyDescent="0.25">
      <c r="K417" s="7"/>
      <c r="L417" s="7"/>
    </row>
    <row r="418" spans="11:12" ht="17" x14ac:dyDescent="0.25">
      <c r="K418" s="7"/>
      <c r="L418" s="7"/>
    </row>
    <row r="419" spans="11:12" ht="17" x14ac:dyDescent="0.25">
      <c r="K419" s="7"/>
      <c r="L419" s="7"/>
    </row>
    <row r="420" spans="11:12" ht="17" x14ac:dyDescent="0.25">
      <c r="K420" s="7"/>
      <c r="L420" s="7"/>
    </row>
    <row r="421" spans="11:12" ht="17" x14ac:dyDescent="0.25">
      <c r="K421" s="7"/>
      <c r="L421" s="7"/>
    </row>
    <row r="422" spans="11:12" ht="17" x14ac:dyDescent="0.25">
      <c r="K422" s="7"/>
      <c r="L422" s="7"/>
    </row>
    <row r="423" spans="11:12" ht="17" x14ac:dyDescent="0.25">
      <c r="K423" s="7"/>
      <c r="L423" s="7"/>
    </row>
    <row r="424" spans="11:12" ht="17" x14ac:dyDescent="0.25">
      <c r="K424" s="7"/>
      <c r="L424" s="7"/>
    </row>
    <row r="425" spans="11:12" ht="17" x14ac:dyDescent="0.25">
      <c r="K425" s="7"/>
      <c r="L425" s="7"/>
    </row>
    <row r="426" spans="11:12" ht="17" x14ac:dyDescent="0.25">
      <c r="K426" s="7"/>
      <c r="L426" s="7"/>
    </row>
    <row r="427" spans="11:12" ht="17" x14ac:dyDescent="0.25">
      <c r="K427" s="7"/>
      <c r="L427" s="7"/>
    </row>
    <row r="428" spans="11:12" ht="17" x14ac:dyDescent="0.25">
      <c r="K428" s="7"/>
      <c r="L428" s="7"/>
    </row>
    <row r="429" spans="11:12" ht="17" x14ac:dyDescent="0.25">
      <c r="K429" s="7"/>
      <c r="L429" s="7"/>
    </row>
    <row r="430" spans="11:12" ht="17" x14ac:dyDescent="0.25">
      <c r="K430" s="7"/>
      <c r="L430" s="7"/>
    </row>
    <row r="431" spans="11:12" ht="17" x14ac:dyDescent="0.25">
      <c r="K431" s="7"/>
      <c r="L431" s="7"/>
    </row>
    <row r="432" spans="11:12" ht="17" x14ac:dyDescent="0.25">
      <c r="K432" s="7"/>
      <c r="L432" s="7"/>
    </row>
    <row r="433" spans="11:12" ht="17" x14ac:dyDescent="0.25">
      <c r="K433" s="7"/>
      <c r="L433" s="7"/>
    </row>
    <row r="434" spans="11:12" ht="17" x14ac:dyDescent="0.25">
      <c r="K434" s="7"/>
      <c r="L434" s="7"/>
    </row>
    <row r="435" spans="11:12" ht="17" x14ac:dyDescent="0.25">
      <c r="K435" s="7"/>
      <c r="L435" s="7"/>
    </row>
    <row r="436" spans="11:12" ht="17" x14ac:dyDescent="0.25">
      <c r="K436" s="7"/>
      <c r="L436" s="7"/>
    </row>
    <row r="437" spans="11:12" ht="17" x14ac:dyDescent="0.25">
      <c r="K437" s="7"/>
      <c r="L437" s="7"/>
    </row>
    <row r="438" spans="11:12" ht="17" x14ac:dyDescent="0.25">
      <c r="K438" s="7"/>
      <c r="L438" s="7"/>
    </row>
    <row r="439" spans="11:12" ht="17" x14ac:dyDescent="0.25">
      <c r="K439" s="7"/>
      <c r="L439" s="7"/>
    </row>
    <row r="440" spans="11:12" ht="17" x14ac:dyDescent="0.25">
      <c r="K440" s="7"/>
      <c r="L440" s="7"/>
    </row>
    <row r="441" spans="11:12" ht="17" x14ac:dyDescent="0.25">
      <c r="K441" s="7"/>
      <c r="L441" s="7"/>
    </row>
    <row r="442" spans="11:12" ht="17" x14ac:dyDescent="0.25">
      <c r="K442" s="7"/>
      <c r="L442" s="7"/>
    </row>
    <row r="443" spans="11:12" ht="17" x14ac:dyDescent="0.25">
      <c r="K443" s="7"/>
      <c r="L443" s="7"/>
    </row>
    <row r="444" spans="11:12" ht="17" x14ac:dyDescent="0.25">
      <c r="K444" s="7"/>
      <c r="L444" s="7"/>
    </row>
    <row r="445" spans="11:12" ht="17" x14ac:dyDescent="0.25">
      <c r="K445" s="7"/>
      <c r="L445" s="7"/>
    </row>
    <row r="446" spans="11:12" ht="17" x14ac:dyDescent="0.25">
      <c r="K446" s="7"/>
      <c r="L446" s="7"/>
    </row>
    <row r="447" spans="11:12" ht="17" x14ac:dyDescent="0.25">
      <c r="K447" s="7"/>
      <c r="L447" s="7"/>
    </row>
    <row r="448" spans="11:12" ht="17" x14ac:dyDescent="0.25">
      <c r="K448" s="7"/>
      <c r="L448" s="7"/>
    </row>
    <row r="449" spans="11:12" ht="17" x14ac:dyDescent="0.25">
      <c r="K449" s="7"/>
      <c r="L449" s="7"/>
    </row>
    <row r="450" spans="11:12" ht="17" x14ac:dyDescent="0.25">
      <c r="K450" s="7"/>
      <c r="L450" s="7"/>
    </row>
    <row r="451" spans="11:12" ht="17" x14ac:dyDescent="0.25">
      <c r="K451" s="7"/>
      <c r="L451" s="7"/>
    </row>
    <row r="452" spans="11:12" ht="17" x14ac:dyDescent="0.25">
      <c r="K452" s="7"/>
      <c r="L452" s="7"/>
    </row>
    <row r="453" spans="11:12" ht="17" x14ac:dyDescent="0.25">
      <c r="K453" s="7"/>
      <c r="L453" s="7"/>
    </row>
    <row r="454" spans="11:12" ht="17" x14ac:dyDescent="0.25">
      <c r="K454" s="7"/>
      <c r="L454" s="7"/>
    </row>
    <row r="455" spans="11:12" ht="17" x14ac:dyDescent="0.25">
      <c r="K455" s="7"/>
      <c r="L455" s="7"/>
    </row>
    <row r="456" spans="11:12" ht="17" x14ac:dyDescent="0.25">
      <c r="K456" s="7"/>
      <c r="L456" s="7"/>
    </row>
    <row r="457" spans="11:12" ht="17" x14ac:dyDescent="0.25">
      <c r="K457" s="7"/>
      <c r="L457" s="7"/>
    </row>
    <row r="458" spans="11:12" ht="17" x14ac:dyDescent="0.25">
      <c r="K458" s="7"/>
      <c r="L458" s="7"/>
    </row>
    <row r="459" spans="11:12" ht="17" x14ac:dyDescent="0.25">
      <c r="K459" s="7"/>
      <c r="L459" s="7"/>
    </row>
    <row r="460" spans="11:12" ht="17" x14ac:dyDescent="0.25">
      <c r="K460" s="7"/>
      <c r="L460" s="7"/>
    </row>
    <row r="461" spans="11:12" ht="17" x14ac:dyDescent="0.25">
      <c r="K461" s="7"/>
      <c r="L461" s="7"/>
    </row>
    <row r="462" spans="11:12" ht="17" x14ac:dyDescent="0.25">
      <c r="K462" s="7"/>
      <c r="L462" s="7"/>
    </row>
    <row r="463" spans="11:12" ht="17" x14ac:dyDescent="0.25">
      <c r="K463" s="7"/>
      <c r="L463" s="7"/>
    </row>
    <row r="464" spans="11:12" ht="17" x14ac:dyDescent="0.25">
      <c r="K464" s="7"/>
      <c r="L464" s="7"/>
    </row>
    <row r="465" spans="11:12" ht="17" x14ac:dyDescent="0.25">
      <c r="K465" s="7"/>
      <c r="L465" s="7"/>
    </row>
    <row r="466" spans="11:12" ht="17" x14ac:dyDescent="0.25">
      <c r="K466" s="7"/>
      <c r="L466" s="7"/>
    </row>
    <row r="467" spans="11:12" ht="17" x14ac:dyDescent="0.25">
      <c r="K467" s="7"/>
      <c r="L467" s="7"/>
    </row>
    <row r="468" spans="11:12" ht="17" x14ac:dyDescent="0.25">
      <c r="K468" s="7"/>
      <c r="L468" s="7"/>
    </row>
    <row r="469" spans="11:12" ht="17" x14ac:dyDescent="0.25">
      <c r="K469" s="7"/>
      <c r="L469" s="7"/>
    </row>
    <row r="470" spans="11:12" ht="17" x14ac:dyDescent="0.25">
      <c r="K470" s="7"/>
      <c r="L470" s="7"/>
    </row>
    <row r="471" spans="11:12" ht="17" x14ac:dyDescent="0.25">
      <c r="K471" s="7"/>
      <c r="L471" s="7"/>
    </row>
    <row r="472" spans="11:12" ht="17" x14ac:dyDescent="0.25">
      <c r="K472" s="7"/>
      <c r="L472" s="7"/>
    </row>
  </sheetData>
  <sortState xmlns:xlrd2="http://schemas.microsoft.com/office/spreadsheetml/2017/richdata2" ref="L1:L302">
    <sortCondition descending="1" ref="L1:L302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Лукина Татьяна Александровна</dc:creator>
  <cp:lastModifiedBy>Лукина Татьяна Александровна</cp:lastModifiedBy>
  <dcterms:created xsi:type="dcterms:W3CDTF">2026-09-22T08:56:35Z</dcterms:created>
  <dcterms:modified xsi:type="dcterms:W3CDTF">2026-10-06T19:00:58Z</dcterms:modified>
</cp:coreProperties>
</file>